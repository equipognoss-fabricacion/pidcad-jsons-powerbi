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riamlab-my.sharepoint.com/personal/estebansota_gnoss_com/Documents/DTI Cádiz/Datos Cádiz/Cultural y patrimonial/"/>
    </mc:Choice>
  </mc:AlternateContent>
  <xr:revisionPtr revIDLastSave="2" documentId="11_98E9EACF9759C40FE43EB097505DCE3A07CCE963" xr6:coauthVersionLast="47" xr6:coauthVersionMax="47" xr10:uidLastSave="{19ED16EA-DABF-45D4-A954-F947AE88750E}"/>
  <bookViews>
    <workbookView xWindow="-108" yWindow="-108" windowWidth="23256" windowHeight="12456" xr2:uid="{00000000-000D-0000-FFFF-FFFF00000000}"/>
  </bookViews>
  <sheets>
    <sheet name="ECTA Cádiz 2022-2025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" i="1"/>
  <c r="H56" i="1"/>
  <c r="G56" i="1"/>
  <c r="F56" i="1"/>
  <c r="E56" i="1"/>
  <c r="D56" i="1"/>
  <c r="C56" i="1"/>
  <c r="H55" i="1"/>
  <c r="G55" i="1"/>
  <c r="F55" i="1"/>
  <c r="E55" i="1"/>
  <c r="D55" i="1"/>
  <c r="C55" i="1"/>
  <c r="H54" i="1"/>
  <c r="G54" i="1"/>
  <c r="F54" i="1"/>
  <c r="E54" i="1"/>
  <c r="D54" i="1"/>
  <c r="C54" i="1"/>
  <c r="H53" i="1"/>
  <c r="H58" i="1" s="1"/>
  <c r="G53" i="1"/>
  <c r="G58" i="1" s="1"/>
  <c r="F53" i="1"/>
  <c r="F58" i="1" s="1"/>
  <c r="E53" i="1"/>
  <c r="E58" i="1" s="1"/>
  <c r="D53" i="1"/>
  <c r="D58" i="1" s="1"/>
  <c r="C53" i="1"/>
  <c r="C58" i="1" s="1"/>
</calcChain>
</file>

<file path=xl/sharedStrings.xml><?xml version="1.0" encoding="utf-8"?>
<sst xmlns="http://schemas.openxmlformats.org/spreadsheetml/2006/main" count="18" uniqueCount="18">
  <si>
    <t>ENCUESTA DE COYUNTURA TURÍSTICA - CÁDIZ (2022-2025)</t>
  </si>
  <si>
    <t>Datos ilustrativos basados en tendencias ECTA reales</t>
  </si>
  <si>
    <t>Año</t>
  </si>
  <si>
    <t>Mes</t>
  </si>
  <si>
    <t>Playas (€)</t>
  </si>
  <si>
    <t>Cultura (€)</t>
  </si>
  <si>
    <t>Naturaleza (€)</t>
  </si>
  <si>
    <t>Montaña (€)</t>
  </si>
  <si>
    <t>Deportes (€)</t>
  </si>
  <si>
    <t>Gastronomía (€)</t>
  </si>
  <si>
    <t>2022 TOTAL</t>
  </si>
  <si>
    <t>2023 TOTAL</t>
  </si>
  <si>
    <t>2024 TOTAL</t>
  </si>
  <si>
    <t>2025 TOTAL</t>
  </si>
  <si>
    <t>PROMEDIO MENSUAL</t>
  </si>
  <si>
    <t>NOTA IMPORTANTE:</t>
  </si>
  <si>
    <t>Estos datos son ILUSTRATIVOS basados en tendencias reales de ECTA. Los valores reales deben obtenerse desde BADEA.</t>
  </si>
  <si>
    <t>Fuente: ECTA - Instituto de Estadística y Cartografía de Andalucía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</si>
</sst>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0"/>
      <color rgb="FFC00000"/>
      <name val="Calibri"/>
    </font>
    <font>
      <i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right"/>
    </xf>
    <xf numFmtId="0" fontId="4" fillId="4" borderId="1" xfId="0" applyFont="1" applyFill="1" applyBorder="1"/>
    <xf numFmtId="4" fontId="4" fillId="4" borderId="1" xfId="0" applyNumberFormat="1" applyFont="1" applyFill="1" applyBorder="1" applyAlignment="1">
      <alignment horizontal="right"/>
    </xf>
    <xf numFmtId="0" fontId="4" fillId="5" borderId="0" xfId="0" applyFont="1" applyFill="1"/>
    <xf numFmtId="4" fontId="4" fillId="5" borderId="1" xfId="0" applyNumberFormat="1" applyFont="1" applyFill="1" applyBorder="1" applyAlignment="1">
      <alignment horizontal="right"/>
    </xf>
    <xf numFmtId="0" fontId="6" fillId="0" borderId="0" xfId="0" applyFont="1"/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5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topLeftCell="A6" workbookViewId="0">
      <selection activeCell="I5" sqref="I5:I52"/>
    </sheetView>
  </sheetViews>
  <sheetFormatPr baseColWidth="10" defaultColWidth="8.88671875" defaultRowHeight="14.4" x14ac:dyDescent="0.3"/>
  <cols>
    <col min="1" max="1" width="12" customWidth="1"/>
    <col min="2" max="2" width="10" customWidth="1"/>
    <col min="3" max="8" width="16" customWidth="1"/>
  </cols>
  <sheetData>
    <row r="1" spans="1:9" ht="25.05" customHeight="1" x14ac:dyDescent="0.3">
      <c r="A1" s="12" t="s">
        <v>0</v>
      </c>
      <c r="B1" s="10"/>
      <c r="C1" s="10"/>
      <c r="D1" s="10"/>
      <c r="E1" s="10"/>
      <c r="F1" s="10"/>
      <c r="G1" s="10"/>
      <c r="H1" s="10"/>
    </row>
    <row r="2" spans="1:9" x14ac:dyDescent="0.3">
      <c r="A2" s="11" t="s">
        <v>1</v>
      </c>
      <c r="B2" s="10"/>
      <c r="C2" s="10"/>
      <c r="D2" s="10"/>
      <c r="E2" s="10"/>
      <c r="F2" s="10"/>
      <c r="G2" s="10"/>
      <c r="H2" s="10"/>
    </row>
    <row r="4" spans="1:9" ht="25.0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9" x14ac:dyDescent="0.3">
      <c r="A5" s="2">
        <v>2022</v>
      </c>
      <c r="B5" s="3">
        <v>1</v>
      </c>
      <c r="C5" s="4">
        <v>25.48</v>
      </c>
      <c r="D5" s="4">
        <v>13.72</v>
      </c>
      <c r="E5" s="4">
        <v>8.82</v>
      </c>
      <c r="F5" s="4">
        <v>3.92</v>
      </c>
      <c r="G5" s="4">
        <v>6.3</v>
      </c>
      <c r="H5" s="4">
        <v>19.32</v>
      </c>
      <c r="I5" s="14">
        <f>SUM(C5:H5)</f>
        <v>77.56</v>
      </c>
    </row>
    <row r="6" spans="1:9" x14ac:dyDescent="0.3">
      <c r="A6" s="2">
        <v>2022</v>
      </c>
      <c r="B6" s="3">
        <v>2</v>
      </c>
      <c r="C6" s="4">
        <v>25.48</v>
      </c>
      <c r="D6" s="4">
        <v>13.72</v>
      </c>
      <c r="E6" s="4">
        <v>8.82</v>
      </c>
      <c r="F6" s="4">
        <v>3.92</v>
      </c>
      <c r="G6" s="4">
        <v>6.3</v>
      </c>
      <c r="H6" s="4">
        <v>19.32</v>
      </c>
      <c r="I6" s="14">
        <f t="shared" ref="I6:I52" si="0">SUM(C6:H6)</f>
        <v>77.56</v>
      </c>
    </row>
    <row r="7" spans="1:9" x14ac:dyDescent="0.3">
      <c r="A7" s="2">
        <v>2022</v>
      </c>
      <c r="B7" s="3">
        <v>3</v>
      </c>
      <c r="C7" s="4">
        <v>46.93</v>
      </c>
      <c r="D7" s="4">
        <v>25.27</v>
      </c>
      <c r="E7" s="4">
        <v>16.34</v>
      </c>
      <c r="F7" s="4">
        <v>7.22</v>
      </c>
      <c r="G7" s="4">
        <v>11.59</v>
      </c>
      <c r="H7" s="4">
        <v>35.340000000000003</v>
      </c>
      <c r="I7" s="14">
        <f t="shared" si="0"/>
        <v>142.69</v>
      </c>
    </row>
    <row r="8" spans="1:9" x14ac:dyDescent="0.3">
      <c r="A8" s="2">
        <v>2022</v>
      </c>
      <c r="B8" s="3">
        <v>4</v>
      </c>
      <c r="C8" s="4">
        <v>46.93</v>
      </c>
      <c r="D8" s="4">
        <v>25.27</v>
      </c>
      <c r="E8" s="4">
        <v>16.34</v>
      </c>
      <c r="F8" s="4">
        <v>7.22</v>
      </c>
      <c r="G8" s="4">
        <v>11.59</v>
      </c>
      <c r="H8" s="4">
        <v>35.340000000000003</v>
      </c>
      <c r="I8" s="14">
        <f t="shared" si="0"/>
        <v>142.69</v>
      </c>
    </row>
    <row r="9" spans="1:9" x14ac:dyDescent="0.3">
      <c r="A9" s="2">
        <v>2022</v>
      </c>
      <c r="B9" s="3">
        <v>5</v>
      </c>
      <c r="C9" s="4">
        <v>46.93</v>
      </c>
      <c r="D9" s="4">
        <v>25.27</v>
      </c>
      <c r="E9" s="4">
        <v>16.34</v>
      </c>
      <c r="F9" s="4">
        <v>7.22</v>
      </c>
      <c r="G9" s="4">
        <v>11.59</v>
      </c>
      <c r="H9" s="4">
        <v>35.340000000000003</v>
      </c>
      <c r="I9" s="14">
        <f t="shared" si="0"/>
        <v>142.69</v>
      </c>
    </row>
    <row r="10" spans="1:9" x14ac:dyDescent="0.3">
      <c r="A10" s="2">
        <v>2022</v>
      </c>
      <c r="B10" s="3">
        <v>6</v>
      </c>
      <c r="C10" s="4">
        <v>94.77</v>
      </c>
      <c r="D10" s="4">
        <v>51.03</v>
      </c>
      <c r="E10" s="4">
        <v>32.94</v>
      </c>
      <c r="F10" s="4">
        <v>14.58</v>
      </c>
      <c r="G10" s="4">
        <v>23.49</v>
      </c>
      <c r="H10" s="4">
        <v>71.55</v>
      </c>
      <c r="I10" s="14">
        <f t="shared" si="0"/>
        <v>288.36</v>
      </c>
    </row>
    <row r="11" spans="1:9" x14ac:dyDescent="0.3">
      <c r="A11" s="2">
        <v>2022</v>
      </c>
      <c r="B11" s="3">
        <v>7</v>
      </c>
      <c r="C11" s="4">
        <v>94.77</v>
      </c>
      <c r="D11" s="4">
        <v>51.03</v>
      </c>
      <c r="E11" s="4">
        <v>32.94</v>
      </c>
      <c r="F11" s="4">
        <v>14.58</v>
      </c>
      <c r="G11" s="4">
        <v>23.49</v>
      </c>
      <c r="H11" s="4">
        <v>71.55</v>
      </c>
      <c r="I11" s="14">
        <f t="shared" si="0"/>
        <v>288.36</v>
      </c>
    </row>
    <row r="12" spans="1:9" x14ac:dyDescent="0.3">
      <c r="A12" s="2">
        <v>2022</v>
      </c>
      <c r="B12" s="3">
        <v>8</v>
      </c>
      <c r="C12" s="4">
        <v>94.77</v>
      </c>
      <c r="D12" s="4">
        <v>51.03</v>
      </c>
      <c r="E12" s="4">
        <v>32.94</v>
      </c>
      <c r="F12" s="4">
        <v>14.58</v>
      </c>
      <c r="G12" s="4">
        <v>23.49</v>
      </c>
      <c r="H12" s="4">
        <v>71.55</v>
      </c>
      <c r="I12" s="14">
        <f t="shared" si="0"/>
        <v>288.36</v>
      </c>
    </row>
    <row r="13" spans="1:9" x14ac:dyDescent="0.3">
      <c r="A13" s="2">
        <v>2022</v>
      </c>
      <c r="B13" s="3">
        <v>9</v>
      </c>
      <c r="C13" s="4">
        <v>46.93</v>
      </c>
      <c r="D13" s="4">
        <v>25.27</v>
      </c>
      <c r="E13" s="4">
        <v>16.34</v>
      </c>
      <c r="F13" s="4">
        <v>7.22</v>
      </c>
      <c r="G13" s="4">
        <v>11.59</v>
      </c>
      <c r="H13" s="4">
        <v>35.340000000000003</v>
      </c>
      <c r="I13" s="14">
        <f t="shared" si="0"/>
        <v>142.69</v>
      </c>
    </row>
    <row r="14" spans="1:9" x14ac:dyDescent="0.3">
      <c r="A14" s="2">
        <v>2022</v>
      </c>
      <c r="B14" s="3">
        <v>10</v>
      </c>
      <c r="C14" s="4">
        <v>46.93</v>
      </c>
      <c r="D14" s="4">
        <v>25.27</v>
      </c>
      <c r="E14" s="4">
        <v>16.34</v>
      </c>
      <c r="F14" s="4">
        <v>7.22</v>
      </c>
      <c r="G14" s="4">
        <v>11.59</v>
      </c>
      <c r="H14" s="4">
        <v>35.340000000000003</v>
      </c>
      <c r="I14" s="14">
        <f t="shared" si="0"/>
        <v>142.69</v>
      </c>
    </row>
    <row r="15" spans="1:9" x14ac:dyDescent="0.3">
      <c r="A15" s="2">
        <v>2022</v>
      </c>
      <c r="B15" s="3">
        <v>11</v>
      </c>
      <c r="C15" s="4">
        <v>46.93</v>
      </c>
      <c r="D15" s="4">
        <v>25.27</v>
      </c>
      <c r="E15" s="4">
        <v>16.34</v>
      </c>
      <c r="F15" s="4">
        <v>7.22</v>
      </c>
      <c r="G15" s="4">
        <v>11.59</v>
      </c>
      <c r="H15" s="4">
        <v>35.340000000000003</v>
      </c>
      <c r="I15" s="14">
        <f t="shared" si="0"/>
        <v>142.69</v>
      </c>
    </row>
    <row r="16" spans="1:9" x14ac:dyDescent="0.3">
      <c r="A16" s="2">
        <v>2022</v>
      </c>
      <c r="B16" s="3">
        <v>12</v>
      </c>
      <c r="C16" s="4">
        <v>25.48</v>
      </c>
      <c r="D16" s="4">
        <v>13.72</v>
      </c>
      <c r="E16" s="4">
        <v>8.82</v>
      </c>
      <c r="F16" s="4">
        <v>3.92</v>
      </c>
      <c r="G16" s="4">
        <v>6.3</v>
      </c>
      <c r="H16" s="4">
        <v>19.32</v>
      </c>
      <c r="I16" s="14">
        <f t="shared" si="0"/>
        <v>77.56</v>
      </c>
    </row>
    <row r="17" spans="1:9" x14ac:dyDescent="0.3">
      <c r="A17" s="2">
        <v>2023</v>
      </c>
      <c r="B17" s="3">
        <v>1</v>
      </c>
      <c r="C17" s="4">
        <v>26.5</v>
      </c>
      <c r="D17" s="4">
        <v>14.27</v>
      </c>
      <c r="E17" s="4">
        <v>9.17</v>
      </c>
      <c r="F17" s="4">
        <v>4.08</v>
      </c>
      <c r="G17" s="4">
        <v>6.55</v>
      </c>
      <c r="H17" s="4">
        <v>20.09</v>
      </c>
      <c r="I17" s="14">
        <f t="shared" si="0"/>
        <v>80.66</v>
      </c>
    </row>
    <row r="18" spans="1:9" x14ac:dyDescent="0.3">
      <c r="A18" s="2">
        <v>2023</v>
      </c>
      <c r="B18" s="3">
        <v>2</v>
      </c>
      <c r="C18" s="4">
        <v>26.5</v>
      </c>
      <c r="D18" s="4">
        <v>14.27</v>
      </c>
      <c r="E18" s="4">
        <v>9.17</v>
      </c>
      <c r="F18" s="4">
        <v>4.08</v>
      </c>
      <c r="G18" s="4">
        <v>6.55</v>
      </c>
      <c r="H18" s="4">
        <v>20.09</v>
      </c>
      <c r="I18" s="14">
        <f t="shared" si="0"/>
        <v>80.66</v>
      </c>
    </row>
    <row r="19" spans="1:9" x14ac:dyDescent="0.3">
      <c r="A19" s="2">
        <v>2023</v>
      </c>
      <c r="B19" s="3">
        <v>3</v>
      </c>
      <c r="C19" s="4">
        <v>48.81</v>
      </c>
      <c r="D19" s="4">
        <v>26.28</v>
      </c>
      <c r="E19" s="4">
        <v>16.989999999999998</v>
      </c>
      <c r="F19" s="4">
        <v>7.51</v>
      </c>
      <c r="G19" s="4">
        <v>12.05</v>
      </c>
      <c r="H19" s="4">
        <v>36.75</v>
      </c>
      <c r="I19" s="14">
        <f t="shared" si="0"/>
        <v>148.38999999999999</v>
      </c>
    </row>
    <row r="20" spans="1:9" x14ac:dyDescent="0.3">
      <c r="A20" s="2">
        <v>2023</v>
      </c>
      <c r="B20" s="3">
        <v>4</v>
      </c>
      <c r="C20" s="4">
        <v>48.81</v>
      </c>
      <c r="D20" s="4">
        <v>26.28</v>
      </c>
      <c r="E20" s="4">
        <v>16.989999999999998</v>
      </c>
      <c r="F20" s="4">
        <v>7.51</v>
      </c>
      <c r="G20" s="4">
        <v>12.05</v>
      </c>
      <c r="H20" s="4">
        <v>36.75</v>
      </c>
      <c r="I20" s="14">
        <f t="shared" si="0"/>
        <v>148.38999999999999</v>
      </c>
    </row>
    <row r="21" spans="1:9" x14ac:dyDescent="0.3">
      <c r="A21" s="2">
        <v>2023</v>
      </c>
      <c r="B21" s="3">
        <v>5</v>
      </c>
      <c r="C21" s="4">
        <v>48.81</v>
      </c>
      <c r="D21" s="4">
        <v>26.28</v>
      </c>
      <c r="E21" s="4">
        <v>16.989999999999998</v>
      </c>
      <c r="F21" s="4">
        <v>7.51</v>
      </c>
      <c r="G21" s="4">
        <v>12.05</v>
      </c>
      <c r="H21" s="4">
        <v>36.75</v>
      </c>
      <c r="I21" s="14">
        <f t="shared" si="0"/>
        <v>148.38999999999999</v>
      </c>
    </row>
    <row r="22" spans="1:9" x14ac:dyDescent="0.3">
      <c r="A22" s="2">
        <v>2023</v>
      </c>
      <c r="B22" s="3">
        <v>6</v>
      </c>
      <c r="C22" s="4">
        <v>98.56</v>
      </c>
      <c r="D22" s="4">
        <v>53.07</v>
      </c>
      <c r="E22" s="4">
        <v>34.26</v>
      </c>
      <c r="F22" s="4">
        <v>15.16</v>
      </c>
      <c r="G22" s="4">
        <v>24.43</v>
      </c>
      <c r="H22" s="4">
        <v>74.41</v>
      </c>
      <c r="I22" s="14">
        <f t="shared" si="0"/>
        <v>299.89</v>
      </c>
    </row>
    <row r="23" spans="1:9" x14ac:dyDescent="0.3">
      <c r="A23" s="2">
        <v>2023</v>
      </c>
      <c r="B23" s="3">
        <v>7</v>
      </c>
      <c r="C23" s="4">
        <v>98.56</v>
      </c>
      <c r="D23" s="4">
        <v>53.07</v>
      </c>
      <c r="E23" s="4">
        <v>34.26</v>
      </c>
      <c r="F23" s="4">
        <v>15.16</v>
      </c>
      <c r="G23" s="4">
        <v>24.43</v>
      </c>
      <c r="H23" s="4">
        <v>74.41</v>
      </c>
      <c r="I23" s="14">
        <f t="shared" si="0"/>
        <v>299.89</v>
      </c>
    </row>
    <row r="24" spans="1:9" x14ac:dyDescent="0.3">
      <c r="A24" s="2">
        <v>2023</v>
      </c>
      <c r="B24" s="3">
        <v>8</v>
      </c>
      <c r="C24" s="4">
        <v>98.56</v>
      </c>
      <c r="D24" s="4">
        <v>53.07</v>
      </c>
      <c r="E24" s="4">
        <v>34.26</v>
      </c>
      <c r="F24" s="4">
        <v>15.16</v>
      </c>
      <c r="G24" s="4">
        <v>24.43</v>
      </c>
      <c r="H24" s="4">
        <v>74.41</v>
      </c>
      <c r="I24" s="14">
        <f t="shared" si="0"/>
        <v>299.89</v>
      </c>
    </row>
    <row r="25" spans="1:9" x14ac:dyDescent="0.3">
      <c r="A25" s="2">
        <v>2023</v>
      </c>
      <c r="B25" s="3">
        <v>9</v>
      </c>
      <c r="C25" s="4">
        <v>48.81</v>
      </c>
      <c r="D25" s="4">
        <v>26.28</v>
      </c>
      <c r="E25" s="4">
        <v>16.989999999999998</v>
      </c>
      <c r="F25" s="4">
        <v>7.51</v>
      </c>
      <c r="G25" s="4">
        <v>12.05</v>
      </c>
      <c r="H25" s="4">
        <v>36.75</v>
      </c>
      <c r="I25" s="14">
        <f t="shared" si="0"/>
        <v>148.38999999999999</v>
      </c>
    </row>
    <row r="26" spans="1:9" x14ac:dyDescent="0.3">
      <c r="A26" s="2">
        <v>2023</v>
      </c>
      <c r="B26" s="3">
        <v>10</v>
      </c>
      <c r="C26" s="4">
        <v>48.81</v>
      </c>
      <c r="D26" s="4">
        <v>26.28</v>
      </c>
      <c r="E26" s="4">
        <v>16.989999999999998</v>
      </c>
      <c r="F26" s="4">
        <v>7.51</v>
      </c>
      <c r="G26" s="4">
        <v>12.05</v>
      </c>
      <c r="H26" s="4">
        <v>36.75</v>
      </c>
      <c r="I26" s="14">
        <f t="shared" si="0"/>
        <v>148.38999999999999</v>
      </c>
    </row>
    <row r="27" spans="1:9" x14ac:dyDescent="0.3">
      <c r="A27" s="2">
        <v>2023</v>
      </c>
      <c r="B27" s="3">
        <v>11</v>
      </c>
      <c r="C27" s="4">
        <v>48.81</v>
      </c>
      <c r="D27" s="4">
        <v>26.28</v>
      </c>
      <c r="E27" s="4">
        <v>16.989999999999998</v>
      </c>
      <c r="F27" s="4">
        <v>7.51</v>
      </c>
      <c r="G27" s="4">
        <v>12.05</v>
      </c>
      <c r="H27" s="4">
        <v>36.75</v>
      </c>
      <c r="I27" s="14">
        <f t="shared" si="0"/>
        <v>148.38999999999999</v>
      </c>
    </row>
    <row r="28" spans="1:9" x14ac:dyDescent="0.3">
      <c r="A28" s="2">
        <v>2023</v>
      </c>
      <c r="B28" s="3">
        <v>12</v>
      </c>
      <c r="C28" s="4">
        <v>26.5</v>
      </c>
      <c r="D28" s="4">
        <v>14.27</v>
      </c>
      <c r="E28" s="4">
        <v>9.17</v>
      </c>
      <c r="F28" s="4">
        <v>4.08</v>
      </c>
      <c r="G28" s="4">
        <v>6.55</v>
      </c>
      <c r="H28" s="4">
        <v>20.09</v>
      </c>
      <c r="I28" s="14">
        <f t="shared" si="0"/>
        <v>80.66</v>
      </c>
    </row>
    <row r="29" spans="1:9" x14ac:dyDescent="0.3">
      <c r="A29" s="2">
        <v>2024</v>
      </c>
      <c r="B29" s="3">
        <v>1</v>
      </c>
      <c r="C29" s="4">
        <v>27.77</v>
      </c>
      <c r="D29" s="4">
        <v>14.95</v>
      </c>
      <c r="E29" s="4">
        <v>9.61</v>
      </c>
      <c r="F29" s="4">
        <v>4.2699999999999996</v>
      </c>
      <c r="G29" s="4">
        <v>6.87</v>
      </c>
      <c r="H29" s="4">
        <v>21.06</v>
      </c>
      <c r="I29" s="14">
        <f t="shared" si="0"/>
        <v>84.529999999999987</v>
      </c>
    </row>
    <row r="30" spans="1:9" x14ac:dyDescent="0.3">
      <c r="A30" s="2">
        <v>2024</v>
      </c>
      <c r="B30" s="3">
        <v>2</v>
      </c>
      <c r="C30" s="4">
        <v>27.77</v>
      </c>
      <c r="D30" s="4">
        <v>14.95</v>
      </c>
      <c r="E30" s="4">
        <v>9.61</v>
      </c>
      <c r="F30" s="4">
        <v>4.2699999999999996</v>
      </c>
      <c r="G30" s="4">
        <v>6.87</v>
      </c>
      <c r="H30" s="4">
        <v>21.06</v>
      </c>
      <c r="I30" s="14">
        <f t="shared" si="0"/>
        <v>84.529999999999987</v>
      </c>
    </row>
    <row r="31" spans="1:9" x14ac:dyDescent="0.3">
      <c r="A31" s="2">
        <v>2024</v>
      </c>
      <c r="B31" s="3">
        <v>3</v>
      </c>
      <c r="C31" s="4">
        <v>51.15</v>
      </c>
      <c r="D31" s="4">
        <v>27.54</v>
      </c>
      <c r="E31" s="4">
        <v>17.809999999999999</v>
      </c>
      <c r="F31" s="4">
        <v>7.87</v>
      </c>
      <c r="G31" s="4">
        <v>12.63</v>
      </c>
      <c r="H31" s="4">
        <v>38.520000000000003</v>
      </c>
      <c r="I31" s="14">
        <f t="shared" si="0"/>
        <v>155.52000000000001</v>
      </c>
    </row>
    <row r="32" spans="1:9" x14ac:dyDescent="0.3">
      <c r="A32" s="2">
        <v>2024</v>
      </c>
      <c r="B32" s="3">
        <v>4</v>
      </c>
      <c r="C32" s="4">
        <v>51.15</v>
      </c>
      <c r="D32" s="4">
        <v>27.54</v>
      </c>
      <c r="E32" s="4">
        <v>17.809999999999999</v>
      </c>
      <c r="F32" s="4">
        <v>7.87</v>
      </c>
      <c r="G32" s="4">
        <v>12.63</v>
      </c>
      <c r="H32" s="4">
        <v>38.520000000000003</v>
      </c>
      <c r="I32" s="14">
        <f t="shared" si="0"/>
        <v>155.52000000000001</v>
      </c>
    </row>
    <row r="33" spans="1:9" x14ac:dyDescent="0.3">
      <c r="A33" s="2">
        <v>2024</v>
      </c>
      <c r="B33" s="3">
        <v>5</v>
      </c>
      <c r="C33" s="4">
        <v>51.15</v>
      </c>
      <c r="D33" s="4">
        <v>27.54</v>
      </c>
      <c r="E33" s="4">
        <v>17.809999999999999</v>
      </c>
      <c r="F33" s="4">
        <v>7.87</v>
      </c>
      <c r="G33" s="4">
        <v>12.63</v>
      </c>
      <c r="H33" s="4">
        <v>38.520000000000003</v>
      </c>
      <c r="I33" s="14">
        <f t="shared" si="0"/>
        <v>155.52000000000001</v>
      </c>
    </row>
    <row r="34" spans="1:9" x14ac:dyDescent="0.3">
      <c r="A34" s="2">
        <v>2024</v>
      </c>
      <c r="B34" s="3">
        <v>6</v>
      </c>
      <c r="C34" s="4">
        <v>103.3</v>
      </c>
      <c r="D34" s="4">
        <v>55.62</v>
      </c>
      <c r="E34" s="4">
        <v>35.9</v>
      </c>
      <c r="F34" s="4">
        <v>15.89</v>
      </c>
      <c r="G34" s="4">
        <v>25.6</v>
      </c>
      <c r="H34" s="4">
        <v>77.989999999999995</v>
      </c>
      <c r="I34" s="14">
        <f t="shared" si="0"/>
        <v>314.29999999999995</v>
      </c>
    </row>
    <row r="35" spans="1:9" x14ac:dyDescent="0.3">
      <c r="A35" s="2">
        <v>2024</v>
      </c>
      <c r="B35" s="3">
        <v>7</v>
      </c>
      <c r="C35" s="4">
        <v>103.3</v>
      </c>
      <c r="D35" s="4">
        <v>55.62</v>
      </c>
      <c r="E35" s="4">
        <v>35.9</v>
      </c>
      <c r="F35" s="4">
        <v>15.89</v>
      </c>
      <c r="G35" s="4">
        <v>25.6</v>
      </c>
      <c r="H35" s="4">
        <v>77.989999999999995</v>
      </c>
      <c r="I35" s="14">
        <f t="shared" si="0"/>
        <v>314.29999999999995</v>
      </c>
    </row>
    <row r="36" spans="1:9" x14ac:dyDescent="0.3">
      <c r="A36" s="2">
        <v>2024</v>
      </c>
      <c r="B36" s="3">
        <v>8</v>
      </c>
      <c r="C36" s="4">
        <v>103.3</v>
      </c>
      <c r="D36" s="4">
        <v>55.62</v>
      </c>
      <c r="E36" s="4">
        <v>35.9</v>
      </c>
      <c r="F36" s="4">
        <v>15.89</v>
      </c>
      <c r="G36" s="4">
        <v>25.6</v>
      </c>
      <c r="H36" s="4">
        <v>77.989999999999995</v>
      </c>
      <c r="I36" s="14">
        <f t="shared" si="0"/>
        <v>314.29999999999995</v>
      </c>
    </row>
    <row r="37" spans="1:9" x14ac:dyDescent="0.3">
      <c r="A37" s="2">
        <v>2024</v>
      </c>
      <c r="B37" s="3">
        <v>9</v>
      </c>
      <c r="C37" s="4">
        <v>51.15</v>
      </c>
      <c r="D37" s="4">
        <v>27.54</v>
      </c>
      <c r="E37" s="4">
        <v>17.809999999999999</v>
      </c>
      <c r="F37" s="4">
        <v>7.87</v>
      </c>
      <c r="G37" s="4">
        <v>12.63</v>
      </c>
      <c r="H37" s="4">
        <v>38.520000000000003</v>
      </c>
      <c r="I37" s="14">
        <f t="shared" si="0"/>
        <v>155.52000000000001</v>
      </c>
    </row>
    <row r="38" spans="1:9" x14ac:dyDescent="0.3">
      <c r="A38" s="2">
        <v>2024</v>
      </c>
      <c r="B38" s="3">
        <v>10</v>
      </c>
      <c r="C38" s="4">
        <v>51.15</v>
      </c>
      <c r="D38" s="4">
        <v>27.54</v>
      </c>
      <c r="E38" s="4">
        <v>17.809999999999999</v>
      </c>
      <c r="F38" s="4">
        <v>7.87</v>
      </c>
      <c r="G38" s="4">
        <v>12.63</v>
      </c>
      <c r="H38" s="4">
        <v>38.520000000000003</v>
      </c>
      <c r="I38" s="14">
        <f t="shared" si="0"/>
        <v>155.52000000000001</v>
      </c>
    </row>
    <row r="39" spans="1:9" x14ac:dyDescent="0.3">
      <c r="A39" s="2">
        <v>2024</v>
      </c>
      <c r="B39" s="3">
        <v>11</v>
      </c>
      <c r="C39" s="4">
        <v>51.15</v>
      </c>
      <c r="D39" s="4">
        <v>27.54</v>
      </c>
      <c r="E39" s="4">
        <v>17.809999999999999</v>
      </c>
      <c r="F39" s="4">
        <v>7.87</v>
      </c>
      <c r="G39" s="4">
        <v>12.63</v>
      </c>
      <c r="H39" s="4">
        <v>38.520000000000003</v>
      </c>
      <c r="I39" s="14">
        <f t="shared" si="0"/>
        <v>155.52000000000001</v>
      </c>
    </row>
    <row r="40" spans="1:9" x14ac:dyDescent="0.3">
      <c r="A40" s="2">
        <v>2024</v>
      </c>
      <c r="B40" s="3">
        <v>12</v>
      </c>
      <c r="C40" s="4">
        <v>27.77</v>
      </c>
      <c r="D40" s="4">
        <v>14.95</v>
      </c>
      <c r="E40" s="4">
        <v>9.61</v>
      </c>
      <c r="F40" s="4">
        <v>4.2699999999999996</v>
      </c>
      <c r="G40" s="4">
        <v>6.87</v>
      </c>
      <c r="H40" s="4">
        <v>21.06</v>
      </c>
      <c r="I40" s="14">
        <f t="shared" si="0"/>
        <v>84.529999999999987</v>
      </c>
    </row>
    <row r="41" spans="1:9" x14ac:dyDescent="0.3">
      <c r="A41" s="2">
        <v>2025</v>
      </c>
      <c r="B41" s="3">
        <v>1</v>
      </c>
      <c r="C41" s="4">
        <v>29.23</v>
      </c>
      <c r="D41" s="4">
        <v>15.74</v>
      </c>
      <c r="E41" s="4">
        <v>10.119999999999999</v>
      </c>
      <c r="F41" s="4">
        <v>4.5</v>
      </c>
      <c r="G41" s="4">
        <v>7.23</v>
      </c>
      <c r="H41" s="4">
        <v>22.17</v>
      </c>
      <c r="I41" s="14">
        <f t="shared" si="0"/>
        <v>88.99</v>
      </c>
    </row>
    <row r="42" spans="1:9" x14ac:dyDescent="0.3">
      <c r="A42" s="2">
        <v>2025</v>
      </c>
      <c r="B42" s="3">
        <v>2</v>
      </c>
      <c r="C42" s="4">
        <v>29.23</v>
      </c>
      <c r="D42" s="4">
        <v>15.74</v>
      </c>
      <c r="E42" s="4">
        <v>10.119999999999999</v>
      </c>
      <c r="F42" s="4">
        <v>4.5</v>
      </c>
      <c r="G42" s="4">
        <v>7.23</v>
      </c>
      <c r="H42" s="4">
        <v>22.17</v>
      </c>
      <c r="I42" s="14">
        <f t="shared" si="0"/>
        <v>88.99</v>
      </c>
    </row>
    <row r="43" spans="1:9" x14ac:dyDescent="0.3">
      <c r="A43" s="2">
        <v>2025</v>
      </c>
      <c r="B43" s="3">
        <v>3</v>
      </c>
      <c r="C43" s="4">
        <v>53.84</v>
      </c>
      <c r="D43" s="4">
        <v>28.99</v>
      </c>
      <c r="E43" s="4">
        <v>18.75</v>
      </c>
      <c r="F43" s="4">
        <v>8.2799999999999994</v>
      </c>
      <c r="G43" s="4">
        <v>13.3</v>
      </c>
      <c r="H43" s="4">
        <v>40.549999999999997</v>
      </c>
      <c r="I43" s="14">
        <f t="shared" si="0"/>
        <v>163.70999999999998</v>
      </c>
    </row>
    <row r="44" spans="1:9" x14ac:dyDescent="0.3">
      <c r="A44" s="2">
        <v>2025</v>
      </c>
      <c r="B44" s="3">
        <v>4</v>
      </c>
      <c r="C44" s="4">
        <v>53.84</v>
      </c>
      <c r="D44" s="4">
        <v>28.99</v>
      </c>
      <c r="E44" s="4">
        <v>18.75</v>
      </c>
      <c r="F44" s="4">
        <v>8.2799999999999994</v>
      </c>
      <c r="G44" s="4">
        <v>13.3</v>
      </c>
      <c r="H44" s="4">
        <v>40.549999999999997</v>
      </c>
      <c r="I44" s="14">
        <f t="shared" si="0"/>
        <v>163.70999999999998</v>
      </c>
    </row>
    <row r="45" spans="1:9" x14ac:dyDescent="0.3">
      <c r="A45" s="2">
        <v>2025</v>
      </c>
      <c r="B45" s="3">
        <v>5</v>
      </c>
      <c r="C45" s="4">
        <v>53.84</v>
      </c>
      <c r="D45" s="4">
        <v>28.99</v>
      </c>
      <c r="E45" s="4">
        <v>18.75</v>
      </c>
      <c r="F45" s="4">
        <v>8.2799999999999994</v>
      </c>
      <c r="G45" s="4">
        <v>13.3</v>
      </c>
      <c r="H45" s="4">
        <v>40.549999999999997</v>
      </c>
      <c r="I45" s="14">
        <f t="shared" si="0"/>
        <v>163.70999999999998</v>
      </c>
    </row>
    <row r="46" spans="1:9" x14ac:dyDescent="0.3">
      <c r="A46" s="2">
        <v>2025</v>
      </c>
      <c r="B46" s="3">
        <v>6</v>
      </c>
      <c r="C46" s="4">
        <v>108.73</v>
      </c>
      <c r="D46" s="4">
        <v>58.55</v>
      </c>
      <c r="E46" s="4">
        <v>37.79</v>
      </c>
      <c r="F46" s="4">
        <v>16.73</v>
      </c>
      <c r="G46" s="4">
        <v>26.95</v>
      </c>
      <c r="H46" s="4">
        <v>82.09</v>
      </c>
      <c r="I46" s="14">
        <f t="shared" si="0"/>
        <v>330.84</v>
      </c>
    </row>
    <row r="47" spans="1:9" x14ac:dyDescent="0.3">
      <c r="A47" s="2">
        <v>2025</v>
      </c>
      <c r="B47" s="3">
        <v>7</v>
      </c>
      <c r="C47" s="4">
        <v>108.73</v>
      </c>
      <c r="D47" s="4">
        <v>58.55</v>
      </c>
      <c r="E47" s="4">
        <v>37.79</v>
      </c>
      <c r="F47" s="4">
        <v>16.73</v>
      </c>
      <c r="G47" s="4">
        <v>26.95</v>
      </c>
      <c r="H47" s="4">
        <v>82.09</v>
      </c>
      <c r="I47" s="14">
        <f t="shared" si="0"/>
        <v>330.84</v>
      </c>
    </row>
    <row r="48" spans="1:9" x14ac:dyDescent="0.3">
      <c r="A48" s="2">
        <v>2025</v>
      </c>
      <c r="B48" s="3">
        <v>8</v>
      </c>
      <c r="C48" s="4">
        <v>108.73</v>
      </c>
      <c r="D48" s="4">
        <v>58.55</v>
      </c>
      <c r="E48" s="4">
        <v>37.79</v>
      </c>
      <c r="F48" s="4">
        <v>16.73</v>
      </c>
      <c r="G48" s="4">
        <v>26.95</v>
      </c>
      <c r="H48" s="4">
        <v>82.09</v>
      </c>
      <c r="I48" s="14">
        <f t="shared" si="0"/>
        <v>330.84</v>
      </c>
    </row>
    <row r="49" spans="1:9" x14ac:dyDescent="0.3">
      <c r="A49" s="2">
        <v>2025</v>
      </c>
      <c r="B49" s="3">
        <v>9</v>
      </c>
      <c r="C49" s="4">
        <v>53.84</v>
      </c>
      <c r="D49" s="4">
        <v>28.99</v>
      </c>
      <c r="E49" s="4">
        <v>18.75</v>
      </c>
      <c r="F49" s="4">
        <v>8.2799999999999994</v>
      </c>
      <c r="G49" s="4">
        <v>13.3</v>
      </c>
      <c r="H49" s="4">
        <v>40.549999999999997</v>
      </c>
      <c r="I49" s="14">
        <f t="shared" si="0"/>
        <v>163.70999999999998</v>
      </c>
    </row>
    <row r="50" spans="1:9" x14ac:dyDescent="0.3">
      <c r="A50" s="2">
        <v>2025</v>
      </c>
      <c r="B50" s="3">
        <v>10</v>
      </c>
      <c r="C50" s="4">
        <v>53.84</v>
      </c>
      <c r="D50" s="4">
        <v>28.99</v>
      </c>
      <c r="E50" s="4">
        <v>18.75</v>
      </c>
      <c r="F50" s="4">
        <v>8.2799999999999994</v>
      </c>
      <c r="G50" s="4">
        <v>13.3</v>
      </c>
      <c r="H50" s="4">
        <v>40.549999999999997</v>
      </c>
      <c r="I50" s="14">
        <f t="shared" si="0"/>
        <v>163.70999999999998</v>
      </c>
    </row>
    <row r="51" spans="1:9" x14ac:dyDescent="0.3">
      <c r="A51" s="2">
        <v>2025</v>
      </c>
      <c r="B51" s="3">
        <v>11</v>
      </c>
      <c r="C51" s="4">
        <v>53.84</v>
      </c>
      <c r="D51" s="4">
        <v>28.99</v>
      </c>
      <c r="E51" s="4">
        <v>18.75</v>
      </c>
      <c r="F51" s="4">
        <v>8.2799999999999994</v>
      </c>
      <c r="G51" s="4">
        <v>13.3</v>
      </c>
      <c r="H51" s="4">
        <v>40.549999999999997</v>
      </c>
      <c r="I51" s="14">
        <f t="shared" si="0"/>
        <v>163.70999999999998</v>
      </c>
    </row>
    <row r="52" spans="1:9" x14ac:dyDescent="0.3">
      <c r="A52" s="2">
        <v>2025</v>
      </c>
      <c r="B52" s="3">
        <v>12</v>
      </c>
      <c r="C52" s="4">
        <v>29.23</v>
      </c>
      <c r="D52" s="4">
        <v>15.74</v>
      </c>
      <c r="E52" s="4">
        <v>10.119999999999999</v>
      </c>
      <c r="F52" s="4">
        <v>4.5</v>
      </c>
      <c r="G52" s="4">
        <v>7.23</v>
      </c>
      <c r="H52" s="4">
        <v>22.17</v>
      </c>
      <c r="I52" s="14">
        <f t="shared" si="0"/>
        <v>88.99</v>
      </c>
    </row>
    <row r="53" spans="1:9" x14ac:dyDescent="0.3">
      <c r="A53" s="5" t="s">
        <v>10</v>
      </c>
      <c r="C53" s="6">
        <f t="shared" ref="C53:H53" si="1">SUM(C5:C16)</f>
        <v>642.32999999999981</v>
      </c>
      <c r="D53" s="6">
        <f t="shared" si="1"/>
        <v>345.87</v>
      </c>
      <c r="E53" s="6">
        <f t="shared" si="1"/>
        <v>223.32000000000002</v>
      </c>
      <c r="F53" s="6">
        <f t="shared" si="1"/>
        <v>98.82</v>
      </c>
      <c r="G53" s="6">
        <f t="shared" si="1"/>
        <v>158.91</v>
      </c>
      <c r="H53" s="6">
        <f t="shared" si="1"/>
        <v>484.65000000000015</v>
      </c>
    </row>
    <row r="54" spans="1:9" x14ac:dyDescent="0.3">
      <c r="A54" s="5" t="s">
        <v>11</v>
      </c>
      <c r="C54" s="6">
        <f t="shared" ref="C54:H54" si="2">SUM(C17:C28)</f>
        <v>668.04</v>
      </c>
      <c r="D54" s="6">
        <f t="shared" si="2"/>
        <v>359.69999999999993</v>
      </c>
      <c r="E54" s="6">
        <f t="shared" si="2"/>
        <v>232.23</v>
      </c>
      <c r="F54" s="6">
        <f t="shared" si="2"/>
        <v>102.78</v>
      </c>
      <c r="G54" s="6">
        <f t="shared" si="2"/>
        <v>165.24000000000007</v>
      </c>
      <c r="H54" s="6">
        <f t="shared" si="2"/>
        <v>503.99999999999994</v>
      </c>
    </row>
    <row r="55" spans="1:9" x14ac:dyDescent="0.3">
      <c r="A55" s="5" t="s">
        <v>12</v>
      </c>
      <c r="C55" s="6">
        <f t="shared" ref="C55:H55" si="3">SUM(C29:C40)</f>
        <v>700.1099999999999</v>
      </c>
      <c r="D55" s="6">
        <f t="shared" si="3"/>
        <v>376.95000000000005</v>
      </c>
      <c r="E55" s="6">
        <f t="shared" si="3"/>
        <v>243.39000000000004</v>
      </c>
      <c r="F55" s="6">
        <f t="shared" si="3"/>
        <v>107.7</v>
      </c>
      <c r="G55" s="6">
        <f t="shared" si="3"/>
        <v>173.19</v>
      </c>
      <c r="H55" s="6">
        <f t="shared" si="3"/>
        <v>528.27</v>
      </c>
    </row>
    <row r="56" spans="1:9" x14ac:dyDescent="0.3">
      <c r="A56" s="5" t="s">
        <v>13</v>
      </c>
      <c r="C56" s="6">
        <f t="shared" ref="C56:H56" si="4">SUM(C41:C52)</f>
        <v>736.92000000000019</v>
      </c>
      <c r="D56" s="6">
        <f t="shared" si="4"/>
        <v>396.81000000000006</v>
      </c>
      <c r="E56" s="6">
        <f t="shared" si="4"/>
        <v>256.22999999999996</v>
      </c>
      <c r="F56" s="6">
        <f t="shared" si="4"/>
        <v>113.37000000000002</v>
      </c>
      <c r="G56" s="6">
        <f t="shared" si="4"/>
        <v>182.34000000000003</v>
      </c>
      <c r="H56" s="6">
        <f t="shared" si="4"/>
        <v>556.07999999999993</v>
      </c>
    </row>
    <row r="58" spans="1:9" x14ac:dyDescent="0.3">
      <c r="A58" s="7" t="s">
        <v>14</v>
      </c>
      <c r="C58" s="8">
        <f t="shared" ref="C58:H58" si="5">AVERAGE(C5:C53)</f>
        <v>69.178163265306125</v>
      </c>
      <c r="D58" s="8">
        <f t="shared" si="5"/>
        <v>37.248979591836729</v>
      </c>
      <c r="E58" s="8">
        <f t="shared" si="5"/>
        <v>24.050816326530608</v>
      </c>
      <c r="F58" s="8">
        <f t="shared" si="5"/>
        <v>10.642653061224486</v>
      </c>
      <c r="G58" s="8">
        <f t="shared" si="5"/>
        <v>17.114081632653061</v>
      </c>
      <c r="H58" s="8">
        <f t="shared" si="5"/>
        <v>52.196938775510198</v>
      </c>
    </row>
    <row r="61" spans="1:9" x14ac:dyDescent="0.3">
      <c r="A61" s="13" t="s">
        <v>15</v>
      </c>
      <c r="B61" s="10"/>
      <c r="C61" s="10"/>
      <c r="D61" s="10"/>
      <c r="E61" s="10"/>
      <c r="F61" s="10"/>
      <c r="G61" s="10"/>
      <c r="H61" s="10"/>
    </row>
    <row r="62" spans="1:9" x14ac:dyDescent="0.3">
      <c r="A62" s="9" t="s">
        <v>16</v>
      </c>
      <c r="B62" s="10"/>
      <c r="C62" s="10"/>
      <c r="D62" s="10"/>
      <c r="E62" s="10"/>
      <c r="F62" s="10"/>
      <c r="G62" s="10"/>
      <c r="H62" s="10"/>
    </row>
    <row r="63" spans="1:9" x14ac:dyDescent="0.3">
      <c r="A63" s="9" t="s">
        <v>17</v>
      </c>
      <c r="B63" s="10"/>
      <c r="C63" s="10"/>
      <c r="D63" s="10"/>
      <c r="E63" s="10"/>
      <c r="F63" s="10"/>
      <c r="G63" s="10"/>
      <c r="H63" s="10"/>
    </row>
  </sheetData>
  <mergeCells count="5">
    <mergeCell ref="A62:H62"/>
    <mergeCell ref="A2:H2"/>
    <mergeCell ref="A63:H63"/>
    <mergeCell ref="A1:H1"/>
    <mergeCell ref="A61:H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ECTA Cádiz 2022-2025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Esteban Sota Leiva</cp:lastModifiedBy>
  <dcterms:created xsi:type="dcterms:W3CDTF">2026-06-16T15:34:15Z</dcterms:created>
  <dcterms:modified xsi:type="dcterms:W3CDTF">2026-07-27T12:52:59Z</dcterms:modified>
</cp:coreProperties>
</file>