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iamlab-my.sharepoint.com/personal/estebansota_gnoss_com/Documents/DTI Cádiz/Datos Cádiz/Cultural y patrimonial/Junta de Andalucía/"/>
    </mc:Choice>
  </mc:AlternateContent>
  <xr:revisionPtr revIDLastSave="0" documentId="8_{8AAC43F8-B6A2-4184-913F-639572DD91AE}" xr6:coauthVersionLast="47" xr6:coauthVersionMax="47" xr10:uidLastSave="{00000000-0000-0000-0000-000000000000}"/>
  <bookViews>
    <workbookView xWindow="-108" yWindow="-108" windowWidth="23256" windowHeight="12456" xr2:uid="{4527B52B-02D9-45EB-A921-29F7B94C1D37}"/>
  </bookViews>
  <sheets>
    <sheet name="21" sheetId="1" r:id="rId1"/>
  </sheets>
  <externalReferences>
    <externalReference r:id="rId2"/>
  </externalReferences>
  <definedNames>
    <definedName name="_xlnm.Print_Area" localSheetId="0">'21'!$A$1:$M$64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2" i="1" l="1"/>
  <c r="L32" i="1"/>
  <c r="K32" i="1"/>
  <c r="J32" i="1"/>
  <c r="I32" i="1"/>
  <c r="H32" i="1"/>
  <c r="G32" i="1"/>
  <c r="F32" i="1"/>
  <c r="E32" i="1"/>
  <c r="D32" i="1"/>
  <c r="Q15" i="1"/>
  <c r="P15" i="1"/>
  <c r="Q14" i="1"/>
  <c r="P14" i="1"/>
</calcChain>
</file>

<file path=xl/sharedStrings.xml><?xml version="1.0" encoding="utf-8"?>
<sst xmlns="http://schemas.openxmlformats.org/spreadsheetml/2006/main" count="59" uniqueCount="33">
  <si>
    <t>Estadística de museos gestionados por la Consejería de Cultura y Deporte</t>
  </si>
  <si>
    <t>Año 2024</t>
  </si>
  <si>
    <r>
      <rPr>
        <b/>
        <sz val="10"/>
        <color indexed="8"/>
        <rFont val="Source Sans Pro"/>
        <family val="2"/>
      </rPr>
      <t>Tabla 20.</t>
    </r>
    <r>
      <rPr>
        <sz val="10"/>
        <color indexed="8"/>
        <rFont val="Source Sans Pro"/>
        <family val="2"/>
      </rPr>
      <t xml:space="preserve"> Museo de Cádiz. Principales resultados</t>
    </r>
  </si>
  <si>
    <t>Individuales</t>
  </si>
  <si>
    <t>Grupos</t>
  </si>
  <si>
    <t>Total</t>
  </si>
  <si>
    <t>Hom.</t>
  </si>
  <si>
    <t>Muj.</t>
  </si>
  <si>
    <t>Hombres</t>
  </si>
  <si>
    <t>Mujeres</t>
  </si>
  <si>
    <t>Personas usuarias del museo</t>
  </si>
  <si>
    <t>Nº personas usuarias</t>
  </si>
  <si>
    <t>Exposición permanente</t>
  </si>
  <si>
    <t>Nº visitantes</t>
  </si>
  <si>
    <t>Actividades</t>
  </si>
  <si>
    <t>Tipo de actividad</t>
  </si>
  <si>
    <t>Nº activi-dades</t>
  </si>
  <si>
    <t>Nº de asistentes a actividades</t>
  </si>
  <si>
    <t>Visitas Guiadas</t>
  </si>
  <si>
    <t>Talleres</t>
  </si>
  <si>
    <t>Conferencias</t>
  </si>
  <si>
    <t>Actividades didácticas</t>
  </si>
  <si>
    <t>Representaciones</t>
  </si>
  <si>
    <t>Cursos</t>
  </si>
  <si>
    <t>Conciertos</t>
  </si>
  <si>
    <t>Celebraciones</t>
  </si>
  <si>
    <t>Otros</t>
  </si>
  <si>
    <t>Exposiciones</t>
  </si>
  <si>
    <t>Biblioteca</t>
  </si>
  <si>
    <t>Nº de personas usuarias</t>
  </si>
  <si>
    <t>Servicio de Investigación</t>
  </si>
  <si>
    <t>'-': Valor nulo. Fuente: Consejería de Cultura y Deporte.</t>
  </si>
  <si>
    <r>
      <rPr>
        <b/>
        <sz val="10"/>
        <color indexed="8"/>
        <rFont val="Source Sans Pro"/>
        <family val="2"/>
      </rPr>
      <t>Gráfico 13.</t>
    </r>
    <r>
      <rPr>
        <sz val="10"/>
        <color indexed="8"/>
        <rFont val="Source Sans Pro"/>
        <family val="2"/>
      </rPr>
      <t xml:space="preserve"> Número de asistentes a actividades según tipo de actividad. Museo de Cádiz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</si>
</sst>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\-;&quot;··&quot;"/>
    <numFmt numFmtId="165" formatCode="0\ %"/>
    <numFmt numFmtId="166" formatCode="0.0\ 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ource Sans Pro"/>
      <family val="2"/>
    </font>
    <font>
      <sz val="9"/>
      <color rgb="FF808080"/>
      <name val="Source Sans Pro"/>
      <family val="2"/>
    </font>
    <font>
      <b/>
      <sz val="10.5"/>
      <color theme="1"/>
      <name val="Source Sans Pro"/>
      <family val="2"/>
    </font>
    <font>
      <u/>
      <sz val="11"/>
      <color theme="10"/>
      <name val="Calibri"/>
      <family val="2"/>
    </font>
    <font>
      <u/>
      <sz val="9"/>
      <color theme="10"/>
      <name val="Source Sans Pro"/>
      <family val="2"/>
    </font>
    <font>
      <b/>
      <sz val="10.5"/>
      <color rgb="FF007933"/>
      <name val="Source Sans Pro"/>
      <family val="2"/>
    </font>
    <font>
      <sz val="10"/>
      <color indexed="8"/>
      <name val="Source Sans Pro"/>
      <family val="2"/>
    </font>
    <font>
      <b/>
      <sz val="10"/>
      <color indexed="8"/>
      <name val="Source Sans Pro"/>
      <family val="2"/>
    </font>
    <font>
      <sz val="10"/>
      <color theme="1"/>
      <name val="Source Sans Pro"/>
      <family val="2"/>
    </font>
    <font>
      <b/>
      <sz val="10"/>
      <color theme="0"/>
      <name val="Source Sans Pro"/>
      <family val="2"/>
    </font>
    <font>
      <b/>
      <sz val="9"/>
      <color theme="1"/>
      <name val="Source Sans Pro"/>
      <family val="2"/>
    </font>
    <font>
      <sz val="9"/>
      <color theme="0"/>
      <name val="Source Sans Pro"/>
      <family val="2"/>
    </font>
    <font>
      <sz val="10"/>
      <name val="Arial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  <font>
      <sz val="8"/>
      <color theme="1"/>
      <name val="Source Sans Pro"/>
      <family val="2"/>
    </font>
    <font>
      <b/>
      <sz val="10"/>
      <name val="Source Sans Pro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08080"/>
        <bgColor theme="0"/>
      </patternFill>
    </fill>
    <fill>
      <patternFill patternType="solid">
        <fgColor rgb="FF369040"/>
        <bgColor theme="0"/>
      </patternFill>
    </fill>
    <fill>
      <patternFill patternType="solid">
        <fgColor rgb="FFDFE9DB"/>
        <bgColor indexed="64"/>
      </patternFill>
    </fill>
    <fill>
      <patternFill patternType="solid">
        <fgColor rgb="FFDFE9DB"/>
        <bgColor theme="0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69040"/>
      </bottom>
      <diagonal/>
    </border>
    <border>
      <left style="thin">
        <color rgb="FF369040"/>
      </left>
      <right/>
      <top style="thin">
        <color rgb="FF369040"/>
      </top>
      <bottom style="thin">
        <color rgb="FF369040"/>
      </bottom>
      <diagonal/>
    </border>
    <border>
      <left/>
      <right/>
      <top style="thin">
        <color rgb="FF369040"/>
      </top>
      <bottom style="thin">
        <color rgb="FF369040"/>
      </bottom>
      <diagonal/>
    </border>
    <border>
      <left/>
      <right style="thin">
        <color rgb="FF369040"/>
      </right>
      <top style="thin">
        <color rgb="FF369040"/>
      </top>
      <bottom style="thin">
        <color rgb="FF369040"/>
      </bottom>
      <diagonal/>
    </border>
  </borders>
  <cellStyleXfs count="5">
    <xf numFmtId="0" fontId="0" fillId="0" borderId="0"/>
    <xf numFmtId="165" fontId="14" fillId="0" borderId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4" fillId="0" borderId="0"/>
  </cellStyleXfs>
  <cellXfs count="37">
    <xf numFmtId="0" fontId="0" fillId="0" borderId="0" xfId="0"/>
    <xf numFmtId="0" fontId="2" fillId="2" borderId="0" xfId="2" applyFont="1" applyFill="1" applyAlignment="1">
      <alignment vertical="center"/>
    </xf>
    <xf numFmtId="0" fontId="3" fillId="3" borderId="0" xfId="2" applyFont="1" applyFill="1" applyAlignment="1">
      <alignment vertical="center"/>
    </xf>
    <xf numFmtId="0" fontId="2" fillId="3" borderId="0" xfId="2" applyFont="1" applyFill="1" applyAlignment="1">
      <alignment vertical="center"/>
    </xf>
    <xf numFmtId="0" fontId="4" fillId="2" borderId="0" xfId="2" applyFont="1" applyFill="1" applyAlignment="1">
      <alignment vertical="center"/>
    </xf>
    <xf numFmtId="0" fontId="6" fillId="2" borderId="0" xfId="3" applyFont="1" applyFill="1" applyBorder="1" applyAlignment="1" applyProtection="1">
      <alignment horizontal="right" vertical="center"/>
    </xf>
    <xf numFmtId="0" fontId="7" fillId="2" borderId="0" xfId="2" applyFont="1" applyFill="1" applyAlignment="1">
      <alignment horizontal="left" vertical="center" wrapText="1"/>
    </xf>
    <xf numFmtId="0" fontId="2" fillId="2" borderId="1" xfId="2" applyFont="1" applyFill="1" applyBorder="1" applyAlignment="1">
      <alignment vertical="center"/>
    </xf>
    <xf numFmtId="0" fontId="8" fillId="2" borderId="2" xfId="2" applyFont="1" applyFill="1" applyBorder="1" applyAlignment="1">
      <alignment horizontal="left" vertical="center"/>
    </xf>
    <xf numFmtId="0" fontId="10" fillId="2" borderId="3" xfId="2" applyFont="1" applyFill="1" applyBorder="1" applyAlignment="1">
      <alignment horizontal="left" vertical="center"/>
    </xf>
    <xf numFmtId="0" fontId="10" fillId="2" borderId="4" xfId="2" applyFont="1" applyFill="1" applyBorder="1" applyAlignment="1">
      <alignment horizontal="left" vertical="center"/>
    </xf>
    <xf numFmtId="0" fontId="11" fillId="4" borderId="0" xfId="2" applyFont="1" applyFill="1" applyAlignment="1">
      <alignment horizontal="left" vertical="center"/>
    </xf>
    <xf numFmtId="0" fontId="11" fillId="4" borderId="0" xfId="2" applyFont="1" applyFill="1" applyAlignment="1">
      <alignment horizontal="center" vertical="center"/>
    </xf>
    <xf numFmtId="164" fontId="3" fillId="3" borderId="0" xfId="2" applyNumberFormat="1" applyFont="1" applyFill="1" applyAlignment="1">
      <alignment vertical="center"/>
    </xf>
    <xf numFmtId="0" fontId="11" fillId="4" borderId="0" xfId="2" applyFont="1" applyFill="1" applyAlignment="1">
      <alignment horizontal="center" vertical="center"/>
    </xf>
    <xf numFmtId="0" fontId="12" fillId="5" borderId="0" xfId="2" applyFont="1" applyFill="1" applyAlignment="1">
      <alignment vertical="center"/>
    </xf>
    <xf numFmtId="164" fontId="12" fillId="5" borderId="0" xfId="2" applyNumberFormat="1" applyFont="1" applyFill="1" applyAlignment="1">
      <alignment vertical="center"/>
    </xf>
    <xf numFmtId="0" fontId="2" fillId="2" borderId="0" xfId="2" applyFont="1" applyFill="1" applyAlignment="1">
      <alignment horizontal="left" vertical="center"/>
    </xf>
    <xf numFmtId="164" fontId="2" fillId="2" borderId="0" xfId="2" applyNumberFormat="1" applyFont="1" applyFill="1" applyAlignment="1">
      <alignment vertical="center"/>
    </xf>
    <xf numFmtId="0" fontId="13" fillId="3" borderId="0" xfId="2" applyFont="1" applyFill="1" applyAlignment="1">
      <alignment vertical="center"/>
    </xf>
    <xf numFmtId="164" fontId="13" fillId="3" borderId="0" xfId="2" applyNumberFormat="1" applyFont="1" applyFill="1" applyAlignment="1">
      <alignment vertical="center"/>
    </xf>
    <xf numFmtId="0" fontId="11" fillId="4" borderId="0" xfId="2" applyFont="1" applyFill="1" applyAlignment="1">
      <alignment horizontal="right" vertical="center" wrapText="1"/>
    </xf>
    <xf numFmtId="166" fontId="14" fillId="3" borderId="0" xfId="1" applyNumberFormat="1" applyFill="1" applyAlignment="1">
      <alignment vertical="center"/>
    </xf>
    <xf numFmtId="0" fontId="12" fillId="6" borderId="0" xfId="2" applyFont="1" applyFill="1" applyAlignment="1">
      <alignment vertical="center"/>
    </xf>
    <xf numFmtId="164" fontId="12" fillId="6" borderId="0" xfId="2" applyNumberFormat="1" applyFont="1" applyFill="1" applyAlignment="1">
      <alignment vertical="center"/>
    </xf>
    <xf numFmtId="0" fontId="10" fillId="2" borderId="0" xfId="2" applyFont="1" applyFill="1" applyAlignment="1">
      <alignment vertical="center"/>
    </xf>
    <xf numFmtId="0" fontId="15" fillId="4" borderId="0" xfId="2" applyFont="1" applyFill="1" applyAlignment="1">
      <alignment vertical="center"/>
    </xf>
    <xf numFmtId="164" fontId="15" fillId="4" borderId="0" xfId="2" applyNumberFormat="1" applyFont="1" applyFill="1" applyAlignment="1">
      <alignment vertical="center"/>
    </xf>
    <xf numFmtId="0" fontId="11" fillId="4" borderId="0" xfId="2" applyFont="1" applyFill="1" applyAlignment="1">
      <alignment horizontal="right" vertical="center"/>
    </xf>
    <xf numFmtId="0" fontId="16" fillId="3" borderId="0" xfId="2" applyFont="1" applyFill="1" applyAlignment="1">
      <alignment vertical="center"/>
    </xf>
    <xf numFmtId="164" fontId="16" fillId="3" borderId="0" xfId="2" applyNumberFormat="1" applyFont="1" applyFill="1" applyAlignment="1">
      <alignment vertical="center"/>
    </xf>
    <xf numFmtId="0" fontId="10" fillId="3" borderId="0" xfId="2" applyFont="1" applyFill="1" applyAlignment="1">
      <alignment vertical="center"/>
    </xf>
    <xf numFmtId="0" fontId="17" fillId="2" borderId="0" xfId="2" quotePrefix="1" applyFont="1" applyFill="1" applyAlignment="1">
      <alignment vertical="center"/>
    </xf>
    <xf numFmtId="0" fontId="8" fillId="2" borderId="0" xfId="2" applyFont="1" applyFill="1" applyAlignment="1">
      <alignment vertical="center"/>
    </xf>
    <xf numFmtId="0" fontId="18" fillId="7" borderId="0" xfId="4" applyFont="1" applyFill="1" applyAlignment="1">
      <alignment vertical="center"/>
    </xf>
    <xf numFmtId="0" fontId="2" fillId="2" borderId="0" xfId="2" applyFont="1" applyFill="1" applyAlignment="1">
      <alignment horizontal="right" vertical="center"/>
    </xf>
    <xf numFmtId="3" fontId="3" fillId="3" borderId="0" xfId="2" applyNumberFormat="1" applyFont="1" applyFill="1" applyAlignment="1">
      <alignment vertical="center"/>
    </xf>
  </cellXfs>
  <cellStyles count="5">
    <cellStyle name="Hipervínculo 3" xfId="3" xr:uid="{086397BF-C722-4A21-B7A7-2B4F556AD9A7}"/>
    <cellStyle name="Normal" xfId="0" builtinId="0"/>
    <cellStyle name="Normal 2" xfId="4" xr:uid="{61287BCE-6FFB-4790-8FFF-B12E821598F2}"/>
    <cellStyle name="Normal 3 46" xfId="2" xr:uid="{4C5035E9-3EA2-4448-A075-D082F6CBCA45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455807989597629E-2"/>
          <c:y val="0.11868720008483788"/>
          <c:w val="0.76490889935322293"/>
          <c:h val="0.74747797330347743"/>
        </c:manualLayout>
      </c:layout>
      <c:ofPieChart>
        <c:ofPieType val="pie"/>
        <c:varyColors val="1"/>
        <c:ser>
          <c:idx val="0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2B34-42CA-B81B-C7246C89190F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2B34-42CA-B81B-C7246C89190F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2B34-42CA-B81B-C7246C89190F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2B34-42CA-B81B-C7246C89190F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2B34-42CA-B81B-C7246C89190F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2B34-42CA-B81B-C7246C89190F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2B34-42CA-B81B-C7246C89190F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2B34-42CA-B81B-C7246C89190F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2B34-42CA-B81B-C7246C89190F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2B34-42CA-B81B-C7246C89190F}"/>
              </c:ext>
            </c:extLst>
          </c:dPt>
          <c:dLbls>
            <c:dLbl>
              <c:idx val="0"/>
              <c:layout>
                <c:manualLayout>
                  <c:x val="-1.2979293393347987E-2"/>
                  <c:y val="5.223828034153951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34-42CA-B81B-C7246C89190F}"/>
                </c:ext>
              </c:extLst>
            </c:dLbl>
            <c:dLbl>
              <c:idx val="1"/>
              <c:layout>
                <c:manualLayout>
                  <c:x val="1.7900805235386934E-2"/>
                  <c:y val="2.6643077843117712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34-42CA-B81B-C7246C89190F}"/>
                </c:ext>
              </c:extLst>
            </c:dLbl>
            <c:dLbl>
              <c:idx val="2"/>
              <c:layout>
                <c:manualLayout>
                  <c:x val="-7.4525174751974316E-2"/>
                  <c:y val="-0.14069836207182956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34-42CA-B81B-C7246C89190F}"/>
                </c:ext>
              </c:extLst>
            </c:dLbl>
            <c:dLbl>
              <c:idx val="3"/>
              <c:layout>
                <c:manualLayout>
                  <c:x val="0.11622233336047168"/>
                  <c:y val="1.515365959001956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DB79227F-32ED-4A15-8B43-C5361D2A3BC7}" type="CATEGORYNAM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[NOMBRE DE CATEGORÍA]</a:t>
                    </a:fld>
                    <a:r>
                      <a:rPr lang="en-US" baseline="0"/>
                      <a:t>; </a:t>
                    </a:r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297916C7-E00F-4599-84D0-3055586121B1}" type="VALUE">
                      <a:rPr lang="en-US" baseline="0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[VALOR]</a:t>
                    </a:fld>
                    <a:r>
                      <a:rPr lang="en-US" baseline="0"/>
                      <a:t>; </a:t>
                    </a:r>
                    <a:fld id="{0CE987FC-74BC-48D7-A1EC-5A85E0510023}" type="PERCENTAGE">
                      <a:rPr lang="en-US" baseline="0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numFmt formatCode="0.0%" sourceLinked="0"/>
              <c:spPr/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B34-42CA-B81B-C7246C89190F}"/>
                </c:ext>
              </c:extLst>
            </c:dLbl>
            <c:dLbl>
              <c:idx val="4"/>
              <c:layout>
                <c:manualLayout>
                  <c:x val="1.7389362518754579E-2"/>
                  <c:y val="3.8588989667430809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34-42CA-B81B-C7246C89190F}"/>
                </c:ext>
              </c:extLst>
            </c:dLbl>
            <c:dLbl>
              <c:idx val="5"/>
              <c:layout>
                <c:manualLayout>
                  <c:x val="1.9032321846032169E-2"/>
                  <c:y val="-1.269776404531712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34-42CA-B81B-C7246C89190F}"/>
                </c:ext>
              </c:extLst>
            </c:dLbl>
            <c:dLbl>
              <c:idx val="6"/>
              <c:layout>
                <c:manualLayout>
                  <c:x val="-9.9473902542093609E-2"/>
                  <c:y val="5.9565434067576993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B34-42CA-B81B-C7246C89190F}"/>
                </c:ext>
              </c:extLst>
            </c:dLbl>
            <c:dLbl>
              <c:idx val="7"/>
              <c:layout>
                <c:manualLayout>
                  <c:x val="6.9287616743623451E-2"/>
                  <c:y val="-0.14608691318648459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47C91BBB-7D0C-4B0F-8067-17DF3B30216D}" type="CATEGORYNAME">
                      <a:rPr lang="en-US">
                        <a:solidFill>
                          <a:sysClr val="windowText" lastClr="000000"/>
                        </a:solidFill>
                      </a:rPr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[NOMBRE DE CATEGORÍA]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; </a:t>
                    </a:r>
                    <a:fld id="{05163072-2445-4086-A638-CE0CF86DEE8E}" type="VALUE">
                      <a:rPr lang="en-US" baseline="0">
                        <a:solidFill>
                          <a:sysClr val="windowText" lastClr="000000"/>
                        </a:solidFill>
                      </a:rPr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[VALOR]</a:t>
                    </a:fld>
                    <a:r>
                      <a:rPr lang="en-US" baseline="0">
                        <a:solidFill>
                          <a:sysClr val="windowText" lastClr="000000"/>
                        </a:solidFill>
                      </a:rPr>
                      <a:t>; </a:t>
                    </a:r>
                  </a:p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fld id="{4834336C-E8F7-41AE-820B-E2922F0BE22D}" type="PERCENTAGE">
                      <a:rPr lang="en-US" baseline="0">
                        <a:solidFill>
                          <a:sysClr val="windowText" lastClr="000000"/>
                        </a:solidFill>
                      </a:rPr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[PORCENTAJE]</a:t>
                    </a:fld>
                    <a:endParaRPr lang="es-ES"/>
                  </a:p>
                </c:rich>
              </c:tx>
              <c:numFmt formatCode="0.0%" sourceLinked="0"/>
              <c:spPr/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2B34-42CA-B81B-C7246C89190F}"/>
                </c:ext>
              </c:extLst>
            </c:dLbl>
            <c:dLbl>
              <c:idx val="8"/>
              <c:layout>
                <c:manualLayout>
                  <c:x val="9.6676320186712267E-3"/>
                  <c:y val="-2.2451576464334363E-2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B34-42CA-B81B-C7246C89190F}"/>
                </c:ext>
              </c:extLst>
            </c:dLbl>
            <c:dLbl>
              <c:idx val="9"/>
              <c:layout>
                <c:manualLayout>
                  <c:x val="-0.1073111651294696"/>
                  <c:y val="0.173298448453437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ysClr val="windowText" lastClr="000000"/>
                      </a:solidFill>
                      <a:latin typeface="Source Sans Pro"/>
                      <a:ea typeface="Source Sans Pro"/>
                      <a:cs typeface="Source Sans Pro"/>
                    </a:defRPr>
                  </a:pPr>
                  <a:endParaRPr lang="es-E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B34-42CA-B81B-C7246C89190F}"/>
                </c:ext>
              </c:extLst>
            </c:dLbl>
            <c:dLbl>
              <c:idx val="10"/>
              <c:layout>
                <c:manualLayout>
                  <c:x val="-1.6517521720420102E-2"/>
                  <c:y val="-1.6877637130801688E-3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Resto de actividades; </a:t>
                    </a:r>
                    <a:fld id="{3FA7F1C1-5C8F-42A4-BA5E-3ABAB0EACC1C}" type="VALUE">
                      <a:rPr lang="en-US" baseline="0"/>
                      <a:pPr/>
                      <a:t>[VALOR]</a:t>
                    </a:fld>
                    <a:r>
                      <a:rPr lang="en-US" baseline="0"/>
                      <a:t>; </a:t>
                    </a:r>
                    <a:fld id="{61BDA534-E787-4530-8BD4-64ECD0CC14B6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2B34-42CA-B81B-C7246C89190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es-E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'21'!$B$22:$B$31</c:f>
              <c:strCache>
                <c:ptCount val="10"/>
                <c:pt idx="0">
                  <c:v>Visitas Guiadas</c:v>
                </c:pt>
                <c:pt idx="1">
                  <c:v>Talleres</c:v>
                </c:pt>
                <c:pt idx="2">
                  <c:v>Conferencias</c:v>
                </c:pt>
                <c:pt idx="3">
                  <c:v>Actividades didácticas</c:v>
                </c:pt>
                <c:pt idx="4">
                  <c:v>Representaciones</c:v>
                </c:pt>
                <c:pt idx="5">
                  <c:v>Cursos</c:v>
                </c:pt>
                <c:pt idx="6">
                  <c:v>Conciertos</c:v>
                </c:pt>
                <c:pt idx="7">
                  <c:v>Celebraciones</c:v>
                </c:pt>
                <c:pt idx="8">
                  <c:v>Otros</c:v>
                </c:pt>
                <c:pt idx="9">
                  <c:v>Exposiciones</c:v>
                </c:pt>
              </c:strCache>
            </c:strRef>
          </c:cat>
          <c:val>
            <c:numRef>
              <c:f>'21'!$M$22:$M$31</c:f>
              <c:numCache>
                <c:formatCode>#,##0;\-#,##0;\-;"··"</c:formatCode>
                <c:ptCount val="10"/>
                <c:pt idx="0">
                  <c:v>646</c:v>
                </c:pt>
                <c:pt idx="1">
                  <c:v>336</c:v>
                </c:pt>
                <c:pt idx="2">
                  <c:v>85</c:v>
                </c:pt>
                <c:pt idx="3">
                  <c:v>102</c:v>
                </c:pt>
                <c:pt idx="4">
                  <c:v>333</c:v>
                </c:pt>
                <c:pt idx="5">
                  <c:v>19</c:v>
                </c:pt>
                <c:pt idx="6">
                  <c:v>540</c:v>
                </c:pt>
                <c:pt idx="7">
                  <c:v>3301</c:v>
                </c:pt>
                <c:pt idx="8">
                  <c:v>41</c:v>
                </c:pt>
                <c:pt idx="9">
                  <c:v>3330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B34-42CA-B81B-C7246C8919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percent"/>
        <c:splitPos val="3"/>
        <c:secondPieSize val="75"/>
        <c:serLines/>
      </c:of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>
      <a:noFill/>
    </a:ln>
  </c:spPr>
  <c:txPr>
    <a:bodyPr/>
    <a:lstStyle/>
    <a:p>
      <a:pPr>
        <a:defRPr sz="800">
          <a:latin typeface="Source Sans Pro" pitchFamily="34" charset="0"/>
          <a:ea typeface="Source Sans Pro" pitchFamily="34" charset="0"/>
        </a:defRPr>
      </a:pPr>
      <a:endParaRPr lang="es-E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247650</xdr:rowOff>
    </xdr:from>
    <xdr:to>
      <xdr:col>2</xdr:col>
      <xdr:colOff>180975</xdr:colOff>
      <xdr:row>4</xdr:row>
      <xdr:rowOff>66675</xdr:rowOff>
    </xdr:to>
    <xdr:pic>
      <xdr:nvPicPr>
        <xdr:cNvPr id="2" name="4 Imagen">
          <a:extLst>
            <a:ext uri="{FF2B5EF4-FFF2-40B4-BE49-F238E27FC236}">
              <a16:creationId xmlns:a16="http://schemas.microsoft.com/office/drawing/2014/main" id="{D963F62D-E589-49EF-9A96-9AD267760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43840"/>
          <a:ext cx="731520" cy="706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38100</xdr:colOff>
      <xdr:row>12</xdr:row>
      <xdr:rowOff>0</xdr:rowOff>
    </xdr:from>
    <xdr:to>
      <xdr:col>6</xdr:col>
      <xdr:colOff>447675</xdr:colOff>
      <xdr:row>12</xdr:row>
      <xdr:rowOff>0</xdr:rowOff>
    </xdr:to>
    <xdr:cxnSp macro="">
      <xdr:nvCxnSpPr>
        <xdr:cNvPr id="3" name="7 Conector recto">
          <a:extLst>
            <a:ext uri="{FF2B5EF4-FFF2-40B4-BE49-F238E27FC236}">
              <a16:creationId xmlns:a16="http://schemas.microsoft.com/office/drawing/2014/main" id="{8F05DEC6-F18E-4AB1-9C73-0BE9004E57B5}"/>
            </a:ext>
          </a:extLst>
        </xdr:cNvPr>
        <xdr:cNvCxnSpPr>
          <a:cxnSpLocks noChangeShapeType="1"/>
        </xdr:cNvCxnSpPr>
      </xdr:nvCxnSpPr>
      <xdr:spPr bwMode="auto">
        <a:xfrm flipV="1">
          <a:off x="2438400" y="2143125"/>
          <a:ext cx="143637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47625</xdr:colOff>
      <xdr:row>12</xdr:row>
      <xdr:rowOff>0</xdr:rowOff>
    </xdr:from>
    <xdr:to>
      <xdr:col>9</xdr:col>
      <xdr:colOff>457200</xdr:colOff>
      <xdr:row>12</xdr:row>
      <xdr:rowOff>0</xdr:rowOff>
    </xdr:to>
    <xdr:cxnSp macro="">
      <xdr:nvCxnSpPr>
        <xdr:cNvPr id="4" name="7 Conector recto">
          <a:extLst>
            <a:ext uri="{FF2B5EF4-FFF2-40B4-BE49-F238E27FC236}">
              <a16:creationId xmlns:a16="http://schemas.microsoft.com/office/drawing/2014/main" id="{C94B39B3-E82B-44B4-BA4D-C811B92BE9CF}"/>
            </a:ext>
          </a:extLst>
        </xdr:cNvPr>
        <xdr:cNvCxnSpPr>
          <a:cxnSpLocks noChangeShapeType="1"/>
        </xdr:cNvCxnSpPr>
      </xdr:nvCxnSpPr>
      <xdr:spPr bwMode="auto">
        <a:xfrm flipV="1">
          <a:off x="3992880" y="2143125"/>
          <a:ext cx="143637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47625</xdr:colOff>
      <xdr:row>12</xdr:row>
      <xdr:rowOff>0</xdr:rowOff>
    </xdr:from>
    <xdr:to>
      <xdr:col>12</xdr:col>
      <xdr:colOff>447675</xdr:colOff>
      <xdr:row>12</xdr:row>
      <xdr:rowOff>0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79DDF82A-CF4B-431C-8759-9EDD30A3B804}"/>
            </a:ext>
          </a:extLst>
        </xdr:cNvPr>
        <xdr:cNvCxnSpPr>
          <a:cxnSpLocks noChangeShapeType="1"/>
        </xdr:cNvCxnSpPr>
      </xdr:nvCxnSpPr>
      <xdr:spPr bwMode="auto">
        <a:xfrm flipV="1">
          <a:off x="5535930" y="2143125"/>
          <a:ext cx="142494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38100</xdr:colOff>
      <xdr:row>20</xdr:row>
      <xdr:rowOff>19050</xdr:rowOff>
    </xdr:from>
    <xdr:to>
      <xdr:col>6</xdr:col>
      <xdr:colOff>447675</xdr:colOff>
      <xdr:row>20</xdr:row>
      <xdr:rowOff>19050</xdr:rowOff>
    </xdr:to>
    <xdr:cxnSp macro="">
      <xdr:nvCxnSpPr>
        <xdr:cNvPr id="6" name="7 Conector recto">
          <a:extLst>
            <a:ext uri="{FF2B5EF4-FFF2-40B4-BE49-F238E27FC236}">
              <a16:creationId xmlns:a16="http://schemas.microsoft.com/office/drawing/2014/main" id="{EC8BD393-6E20-441E-A1FE-0E36574C7A04}"/>
            </a:ext>
          </a:extLst>
        </xdr:cNvPr>
        <xdr:cNvCxnSpPr>
          <a:cxnSpLocks noChangeShapeType="1"/>
        </xdr:cNvCxnSpPr>
      </xdr:nvCxnSpPr>
      <xdr:spPr bwMode="auto">
        <a:xfrm flipV="1">
          <a:off x="2438400" y="3587115"/>
          <a:ext cx="143637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47625</xdr:colOff>
      <xdr:row>20</xdr:row>
      <xdr:rowOff>19050</xdr:rowOff>
    </xdr:from>
    <xdr:to>
      <xdr:col>9</xdr:col>
      <xdr:colOff>457200</xdr:colOff>
      <xdr:row>20</xdr:row>
      <xdr:rowOff>19050</xdr:rowOff>
    </xdr:to>
    <xdr:cxnSp macro="">
      <xdr:nvCxnSpPr>
        <xdr:cNvPr id="7" name="7 Conector recto">
          <a:extLst>
            <a:ext uri="{FF2B5EF4-FFF2-40B4-BE49-F238E27FC236}">
              <a16:creationId xmlns:a16="http://schemas.microsoft.com/office/drawing/2014/main" id="{CAB68837-09F0-4672-8E16-F12E9E3C07D7}"/>
            </a:ext>
          </a:extLst>
        </xdr:cNvPr>
        <xdr:cNvCxnSpPr>
          <a:cxnSpLocks noChangeShapeType="1"/>
        </xdr:cNvCxnSpPr>
      </xdr:nvCxnSpPr>
      <xdr:spPr bwMode="auto">
        <a:xfrm flipV="1">
          <a:off x="3992880" y="3587115"/>
          <a:ext cx="143637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47625</xdr:colOff>
      <xdr:row>20</xdr:row>
      <xdr:rowOff>19050</xdr:rowOff>
    </xdr:from>
    <xdr:to>
      <xdr:col>12</xdr:col>
      <xdr:colOff>447675</xdr:colOff>
      <xdr:row>20</xdr:row>
      <xdr:rowOff>19050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B544BA5C-8A59-4C79-A27C-170AFA88F7AB}"/>
            </a:ext>
          </a:extLst>
        </xdr:cNvPr>
        <xdr:cNvCxnSpPr>
          <a:cxnSpLocks noChangeShapeType="1"/>
        </xdr:cNvCxnSpPr>
      </xdr:nvCxnSpPr>
      <xdr:spPr bwMode="auto">
        <a:xfrm flipV="1">
          <a:off x="5535930" y="3587115"/>
          <a:ext cx="142494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38100</xdr:colOff>
      <xdr:row>19</xdr:row>
      <xdr:rowOff>9525</xdr:rowOff>
    </xdr:from>
    <xdr:to>
      <xdr:col>12</xdr:col>
      <xdr:colOff>447675</xdr:colOff>
      <xdr:row>19</xdr:row>
      <xdr:rowOff>9525</xdr:rowOff>
    </xdr:to>
    <xdr:cxnSp macro="">
      <xdr:nvCxnSpPr>
        <xdr:cNvPr id="9" name="7 Conector recto">
          <a:extLst>
            <a:ext uri="{FF2B5EF4-FFF2-40B4-BE49-F238E27FC236}">
              <a16:creationId xmlns:a16="http://schemas.microsoft.com/office/drawing/2014/main" id="{4551416E-FD75-474A-BD25-57B3B0CAB705}"/>
            </a:ext>
          </a:extLst>
        </xdr:cNvPr>
        <xdr:cNvCxnSpPr>
          <a:cxnSpLocks noChangeShapeType="1"/>
        </xdr:cNvCxnSpPr>
      </xdr:nvCxnSpPr>
      <xdr:spPr bwMode="auto">
        <a:xfrm flipV="1">
          <a:off x="2438400" y="3392805"/>
          <a:ext cx="4522470" cy="0"/>
        </a:xfrm>
        <a:prstGeom prst="line">
          <a:avLst/>
        </a:prstGeom>
        <a:noFill/>
        <a:ln w="11430" algn="ctr">
          <a:solidFill>
            <a:srgbClr val="FFFF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142875</xdr:colOff>
      <xdr:row>43</xdr:row>
      <xdr:rowOff>0</xdr:rowOff>
    </xdr:from>
    <xdr:to>
      <xdr:col>12</xdr:col>
      <xdr:colOff>285750</xdr:colOff>
      <xdr:row>62</xdr:row>
      <xdr:rowOff>123825</xdr:rowOff>
    </xdr:to>
    <xdr:graphicFrame macro="">
      <xdr:nvGraphicFramePr>
        <xdr:cNvPr id="10" name="10 Gráfico">
          <a:extLst>
            <a:ext uri="{FF2B5EF4-FFF2-40B4-BE49-F238E27FC236}">
              <a16:creationId xmlns:a16="http://schemas.microsoft.com/office/drawing/2014/main" id="{8B395D7D-BAD8-41F3-B2F2-013661C88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ota\Downloads\museos24_0.xlsx" TargetMode="External"/><Relationship Id="rId1" Type="http://schemas.openxmlformats.org/officeDocument/2006/relationships/externalLinkPath" Target="file:///C:\Users\esota\Downloads\museos24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2">
          <cell r="B22" t="str">
            <v>Visitas Guiadas</v>
          </cell>
          <cell r="M22">
            <v>646</v>
          </cell>
        </row>
        <row r="23">
          <cell r="B23" t="str">
            <v>Talleres</v>
          </cell>
          <cell r="M23">
            <v>336</v>
          </cell>
        </row>
        <row r="24">
          <cell r="B24" t="str">
            <v>Conferencias</v>
          </cell>
          <cell r="M24">
            <v>85</v>
          </cell>
        </row>
        <row r="25">
          <cell r="B25" t="str">
            <v>Actividades didácticas</v>
          </cell>
          <cell r="M25">
            <v>102</v>
          </cell>
        </row>
        <row r="26">
          <cell r="B26" t="str">
            <v>Representaciones</v>
          </cell>
          <cell r="M26">
            <v>333</v>
          </cell>
        </row>
        <row r="27">
          <cell r="B27" t="str">
            <v>Cursos</v>
          </cell>
          <cell r="M27">
            <v>19</v>
          </cell>
        </row>
        <row r="28">
          <cell r="B28" t="str">
            <v>Conciertos</v>
          </cell>
          <cell r="M28">
            <v>540</v>
          </cell>
        </row>
        <row r="29">
          <cell r="B29" t="str">
            <v>Celebraciones</v>
          </cell>
          <cell r="M29">
            <v>3301</v>
          </cell>
        </row>
        <row r="30">
          <cell r="B30" t="str">
            <v>Otros</v>
          </cell>
          <cell r="M30">
            <v>41</v>
          </cell>
        </row>
        <row r="31">
          <cell r="B31" t="str">
            <v>Exposiciones</v>
          </cell>
          <cell r="M31">
            <v>3330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2A06-135A-4B60-9FB3-A9B58B3F1BD1}">
  <dimension ref="A1:Q69"/>
  <sheetViews>
    <sheetView tabSelected="1" topLeftCell="A5" zoomScaleNormal="100" workbookViewId="0"/>
  </sheetViews>
  <sheetFormatPr baseColWidth="10" defaultColWidth="8.6640625" defaultRowHeight="12" x14ac:dyDescent="0.3"/>
  <cols>
    <col min="1" max="1" width="5.33203125" style="3" customWidth="1"/>
    <col min="2" max="2" width="8.6640625" style="3"/>
    <col min="3" max="3" width="11.6640625" style="3" customWidth="1"/>
    <col min="4" max="4" width="9.44140625" style="3" customWidth="1"/>
    <col min="5" max="13" width="7.44140625" style="3" customWidth="1"/>
    <col min="14" max="14" width="5.33203125" style="3" customWidth="1"/>
    <col min="15" max="15" width="9.33203125" style="2" bestFit="1" customWidth="1"/>
    <col min="16" max="16" width="12.6640625" style="2" customWidth="1"/>
    <col min="17" max="17" width="8.6640625" style="2"/>
    <col min="18" max="256" width="8.6640625" style="3"/>
    <col min="257" max="257" width="5.33203125" style="3" customWidth="1"/>
    <col min="258" max="258" width="8.6640625" style="3"/>
    <col min="259" max="259" width="11.6640625" style="3" customWidth="1"/>
    <col min="260" max="260" width="9.44140625" style="3" customWidth="1"/>
    <col min="261" max="269" width="7.44140625" style="3" customWidth="1"/>
    <col min="270" max="270" width="5.33203125" style="3" customWidth="1"/>
    <col min="271" max="271" width="9.33203125" style="3" bestFit="1" customWidth="1"/>
    <col min="272" max="272" width="12.6640625" style="3" customWidth="1"/>
    <col min="273" max="512" width="8.6640625" style="3"/>
    <col min="513" max="513" width="5.33203125" style="3" customWidth="1"/>
    <col min="514" max="514" width="8.6640625" style="3"/>
    <col min="515" max="515" width="11.6640625" style="3" customWidth="1"/>
    <col min="516" max="516" width="9.44140625" style="3" customWidth="1"/>
    <col min="517" max="525" width="7.44140625" style="3" customWidth="1"/>
    <col min="526" max="526" width="5.33203125" style="3" customWidth="1"/>
    <col min="527" max="527" width="9.33203125" style="3" bestFit="1" customWidth="1"/>
    <col min="528" max="528" width="12.6640625" style="3" customWidth="1"/>
    <col min="529" max="768" width="8.6640625" style="3"/>
    <col min="769" max="769" width="5.33203125" style="3" customWidth="1"/>
    <col min="770" max="770" width="8.6640625" style="3"/>
    <col min="771" max="771" width="11.6640625" style="3" customWidth="1"/>
    <col min="772" max="772" width="9.44140625" style="3" customWidth="1"/>
    <col min="773" max="781" width="7.44140625" style="3" customWidth="1"/>
    <col min="782" max="782" width="5.33203125" style="3" customWidth="1"/>
    <col min="783" max="783" width="9.33203125" style="3" bestFit="1" customWidth="1"/>
    <col min="784" max="784" width="12.6640625" style="3" customWidth="1"/>
    <col min="785" max="1024" width="8.6640625" style="3"/>
    <col min="1025" max="1025" width="5.33203125" style="3" customWidth="1"/>
    <col min="1026" max="1026" width="8.6640625" style="3"/>
    <col min="1027" max="1027" width="11.6640625" style="3" customWidth="1"/>
    <col min="1028" max="1028" width="9.44140625" style="3" customWidth="1"/>
    <col min="1029" max="1037" width="7.44140625" style="3" customWidth="1"/>
    <col min="1038" max="1038" width="5.33203125" style="3" customWidth="1"/>
    <col min="1039" max="1039" width="9.33203125" style="3" bestFit="1" customWidth="1"/>
    <col min="1040" max="1040" width="12.6640625" style="3" customWidth="1"/>
    <col min="1041" max="1280" width="8.6640625" style="3"/>
    <col min="1281" max="1281" width="5.33203125" style="3" customWidth="1"/>
    <col min="1282" max="1282" width="8.6640625" style="3"/>
    <col min="1283" max="1283" width="11.6640625" style="3" customWidth="1"/>
    <col min="1284" max="1284" width="9.44140625" style="3" customWidth="1"/>
    <col min="1285" max="1293" width="7.44140625" style="3" customWidth="1"/>
    <col min="1294" max="1294" width="5.33203125" style="3" customWidth="1"/>
    <col min="1295" max="1295" width="9.33203125" style="3" bestFit="1" customWidth="1"/>
    <col min="1296" max="1296" width="12.6640625" style="3" customWidth="1"/>
    <col min="1297" max="1536" width="8.6640625" style="3"/>
    <col min="1537" max="1537" width="5.33203125" style="3" customWidth="1"/>
    <col min="1538" max="1538" width="8.6640625" style="3"/>
    <col min="1539" max="1539" width="11.6640625" style="3" customWidth="1"/>
    <col min="1540" max="1540" width="9.44140625" style="3" customWidth="1"/>
    <col min="1541" max="1549" width="7.44140625" style="3" customWidth="1"/>
    <col min="1550" max="1550" width="5.33203125" style="3" customWidth="1"/>
    <col min="1551" max="1551" width="9.33203125" style="3" bestFit="1" customWidth="1"/>
    <col min="1552" max="1552" width="12.6640625" style="3" customWidth="1"/>
    <col min="1553" max="1792" width="8.6640625" style="3"/>
    <col min="1793" max="1793" width="5.33203125" style="3" customWidth="1"/>
    <col min="1794" max="1794" width="8.6640625" style="3"/>
    <col min="1795" max="1795" width="11.6640625" style="3" customWidth="1"/>
    <col min="1796" max="1796" width="9.44140625" style="3" customWidth="1"/>
    <col min="1797" max="1805" width="7.44140625" style="3" customWidth="1"/>
    <col min="1806" max="1806" width="5.33203125" style="3" customWidth="1"/>
    <col min="1807" max="1807" width="9.33203125" style="3" bestFit="1" customWidth="1"/>
    <col min="1808" max="1808" width="12.6640625" style="3" customWidth="1"/>
    <col min="1809" max="2048" width="8.6640625" style="3"/>
    <col min="2049" max="2049" width="5.33203125" style="3" customWidth="1"/>
    <col min="2050" max="2050" width="8.6640625" style="3"/>
    <col min="2051" max="2051" width="11.6640625" style="3" customWidth="1"/>
    <col min="2052" max="2052" width="9.44140625" style="3" customWidth="1"/>
    <col min="2053" max="2061" width="7.44140625" style="3" customWidth="1"/>
    <col min="2062" max="2062" width="5.33203125" style="3" customWidth="1"/>
    <col min="2063" max="2063" width="9.33203125" style="3" bestFit="1" customWidth="1"/>
    <col min="2064" max="2064" width="12.6640625" style="3" customWidth="1"/>
    <col min="2065" max="2304" width="8.6640625" style="3"/>
    <col min="2305" max="2305" width="5.33203125" style="3" customWidth="1"/>
    <col min="2306" max="2306" width="8.6640625" style="3"/>
    <col min="2307" max="2307" width="11.6640625" style="3" customWidth="1"/>
    <col min="2308" max="2308" width="9.44140625" style="3" customWidth="1"/>
    <col min="2309" max="2317" width="7.44140625" style="3" customWidth="1"/>
    <col min="2318" max="2318" width="5.33203125" style="3" customWidth="1"/>
    <col min="2319" max="2319" width="9.33203125" style="3" bestFit="1" customWidth="1"/>
    <col min="2320" max="2320" width="12.6640625" style="3" customWidth="1"/>
    <col min="2321" max="2560" width="8.6640625" style="3"/>
    <col min="2561" max="2561" width="5.33203125" style="3" customWidth="1"/>
    <col min="2562" max="2562" width="8.6640625" style="3"/>
    <col min="2563" max="2563" width="11.6640625" style="3" customWidth="1"/>
    <col min="2564" max="2564" width="9.44140625" style="3" customWidth="1"/>
    <col min="2565" max="2573" width="7.44140625" style="3" customWidth="1"/>
    <col min="2574" max="2574" width="5.33203125" style="3" customWidth="1"/>
    <col min="2575" max="2575" width="9.33203125" style="3" bestFit="1" customWidth="1"/>
    <col min="2576" max="2576" width="12.6640625" style="3" customWidth="1"/>
    <col min="2577" max="2816" width="8.6640625" style="3"/>
    <col min="2817" max="2817" width="5.33203125" style="3" customWidth="1"/>
    <col min="2818" max="2818" width="8.6640625" style="3"/>
    <col min="2819" max="2819" width="11.6640625" style="3" customWidth="1"/>
    <col min="2820" max="2820" width="9.44140625" style="3" customWidth="1"/>
    <col min="2821" max="2829" width="7.44140625" style="3" customWidth="1"/>
    <col min="2830" max="2830" width="5.33203125" style="3" customWidth="1"/>
    <col min="2831" max="2831" width="9.33203125" style="3" bestFit="1" customWidth="1"/>
    <col min="2832" max="2832" width="12.6640625" style="3" customWidth="1"/>
    <col min="2833" max="3072" width="8.6640625" style="3"/>
    <col min="3073" max="3073" width="5.33203125" style="3" customWidth="1"/>
    <col min="3074" max="3074" width="8.6640625" style="3"/>
    <col min="3075" max="3075" width="11.6640625" style="3" customWidth="1"/>
    <col min="3076" max="3076" width="9.44140625" style="3" customWidth="1"/>
    <col min="3077" max="3085" width="7.44140625" style="3" customWidth="1"/>
    <col min="3086" max="3086" width="5.33203125" style="3" customWidth="1"/>
    <col min="3087" max="3087" width="9.33203125" style="3" bestFit="1" customWidth="1"/>
    <col min="3088" max="3088" width="12.6640625" style="3" customWidth="1"/>
    <col min="3089" max="3328" width="8.6640625" style="3"/>
    <col min="3329" max="3329" width="5.33203125" style="3" customWidth="1"/>
    <col min="3330" max="3330" width="8.6640625" style="3"/>
    <col min="3331" max="3331" width="11.6640625" style="3" customWidth="1"/>
    <col min="3332" max="3332" width="9.44140625" style="3" customWidth="1"/>
    <col min="3333" max="3341" width="7.44140625" style="3" customWidth="1"/>
    <col min="3342" max="3342" width="5.33203125" style="3" customWidth="1"/>
    <col min="3343" max="3343" width="9.33203125" style="3" bestFit="1" customWidth="1"/>
    <col min="3344" max="3344" width="12.6640625" style="3" customWidth="1"/>
    <col min="3345" max="3584" width="8.6640625" style="3"/>
    <col min="3585" max="3585" width="5.33203125" style="3" customWidth="1"/>
    <col min="3586" max="3586" width="8.6640625" style="3"/>
    <col min="3587" max="3587" width="11.6640625" style="3" customWidth="1"/>
    <col min="3588" max="3588" width="9.44140625" style="3" customWidth="1"/>
    <col min="3589" max="3597" width="7.44140625" style="3" customWidth="1"/>
    <col min="3598" max="3598" width="5.33203125" style="3" customWidth="1"/>
    <col min="3599" max="3599" width="9.33203125" style="3" bestFit="1" customWidth="1"/>
    <col min="3600" max="3600" width="12.6640625" style="3" customWidth="1"/>
    <col min="3601" max="3840" width="8.6640625" style="3"/>
    <col min="3841" max="3841" width="5.33203125" style="3" customWidth="1"/>
    <col min="3842" max="3842" width="8.6640625" style="3"/>
    <col min="3843" max="3843" width="11.6640625" style="3" customWidth="1"/>
    <col min="3844" max="3844" width="9.44140625" style="3" customWidth="1"/>
    <col min="3845" max="3853" width="7.44140625" style="3" customWidth="1"/>
    <col min="3854" max="3854" width="5.33203125" style="3" customWidth="1"/>
    <col min="3855" max="3855" width="9.33203125" style="3" bestFit="1" customWidth="1"/>
    <col min="3856" max="3856" width="12.6640625" style="3" customWidth="1"/>
    <col min="3857" max="4096" width="8.6640625" style="3"/>
    <col min="4097" max="4097" width="5.33203125" style="3" customWidth="1"/>
    <col min="4098" max="4098" width="8.6640625" style="3"/>
    <col min="4099" max="4099" width="11.6640625" style="3" customWidth="1"/>
    <col min="4100" max="4100" width="9.44140625" style="3" customWidth="1"/>
    <col min="4101" max="4109" width="7.44140625" style="3" customWidth="1"/>
    <col min="4110" max="4110" width="5.33203125" style="3" customWidth="1"/>
    <col min="4111" max="4111" width="9.33203125" style="3" bestFit="1" customWidth="1"/>
    <col min="4112" max="4112" width="12.6640625" style="3" customWidth="1"/>
    <col min="4113" max="4352" width="8.6640625" style="3"/>
    <col min="4353" max="4353" width="5.33203125" style="3" customWidth="1"/>
    <col min="4354" max="4354" width="8.6640625" style="3"/>
    <col min="4355" max="4355" width="11.6640625" style="3" customWidth="1"/>
    <col min="4356" max="4356" width="9.44140625" style="3" customWidth="1"/>
    <col min="4357" max="4365" width="7.44140625" style="3" customWidth="1"/>
    <col min="4366" max="4366" width="5.33203125" style="3" customWidth="1"/>
    <col min="4367" max="4367" width="9.33203125" style="3" bestFit="1" customWidth="1"/>
    <col min="4368" max="4368" width="12.6640625" style="3" customWidth="1"/>
    <col min="4369" max="4608" width="8.6640625" style="3"/>
    <col min="4609" max="4609" width="5.33203125" style="3" customWidth="1"/>
    <col min="4610" max="4610" width="8.6640625" style="3"/>
    <col min="4611" max="4611" width="11.6640625" style="3" customWidth="1"/>
    <col min="4612" max="4612" width="9.44140625" style="3" customWidth="1"/>
    <col min="4613" max="4621" width="7.44140625" style="3" customWidth="1"/>
    <col min="4622" max="4622" width="5.33203125" style="3" customWidth="1"/>
    <col min="4623" max="4623" width="9.33203125" style="3" bestFit="1" customWidth="1"/>
    <col min="4624" max="4624" width="12.6640625" style="3" customWidth="1"/>
    <col min="4625" max="4864" width="8.6640625" style="3"/>
    <col min="4865" max="4865" width="5.33203125" style="3" customWidth="1"/>
    <col min="4866" max="4866" width="8.6640625" style="3"/>
    <col min="4867" max="4867" width="11.6640625" style="3" customWidth="1"/>
    <col min="4868" max="4868" width="9.44140625" style="3" customWidth="1"/>
    <col min="4869" max="4877" width="7.44140625" style="3" customWidth="1"/>
    <col min="4878" max="4878" width="5.33203125" style="3" customWidth="1"/>
    <col min="4879" max="4879" width="9.33203125" style="3" bestFit="1" customWidth="1"/>
    <col min="4880" max="4880" width="12.6640625" style="3" customWidth="1"/>
    <col min="4881" max="5120" width="8.6640625" style="3"/>
    <col min="5121" max="5121" width="5.33203125" style="3" customWidth="1"/>
    <col min="5122" max="5122" width="8.6640625" style="3"/>
    <col min="5123" max="5123" width="11.6640625" style="3" customWidth="1"/>
    <col min="5124" max="5124" width="9.44140625" style="3" customWidth="1"/>
    <col min="5125" max="5133" width="7.44140625" style="3" customWidth="1"/>
    <col min="5134" max="5134" width="5.33203125" style="3" customWidth="1"/>
    <col min="5135" max="5135" width="9.33203125" style="3" bestFit="1" customWidth="1"/>
    <col min="5136" max="5136" width="12.6640625" style="3" customWidth="1"/>
    <col min="5137" max="5376" width="8.6640625" style="3"/>
    <col min="5377" max="5377" width="5.33203125" style="3" customWidth="1"/>
    <col min="5378" max="5378" width="8.6640625" style="3"/>
    <col min="5379" max="5379" width="11.6640625" style="3" customWidth="1"/>
    <col min="5380" max="5380" width="9.44140625" style="3" customWidth="1"/>
    <col min="5381" max="5389" width="7.44140625" style="3" customWidth="1"/>
    <col min="5390" max="5390" width="5.33203125" style="3" customWidth="1"/>
    <col min="5391" max="5391" width="9.33203125" style="3" bestFit="1" customWidth="1"/>
    <col min="5392" max="5392" width="12.6640625" style="3" customWidth="1"/>
    <col min="5393" max="5632" width="8.6640625" style="3"/>
    <col min="5633" max="5633" width="5.33203125" style="3" customWidth="1"/>
    <col min="5634" max="5634" width="8.6640625" style="3"/>
    <col min="5635" max="5635" width="11.6640625" style="3" customWidth="1"/>
    <col min="5636" max="5636" width="9.44140625" style="3" customWidth="1"/>
    <col min="5637" max="5645" width="7.44140625" style="3" customWidth="1"/>
    <col min="5646" max="5646" width="5.33203125" style="3" customWidth="1"/>
    <col min="5647" max="5647" width="9.33203125" style="3" bestFit="1" customWidth="1"/>
    <col min="5648" max="5648" width="12.6640625" style="3" customWidth="1"/>
    <col min="5649" max="5888" width="8.6640625" style="3"/>
    <col min="5889" max="5889" width="5.33203125" style="3" customWidth="1"/>
    <col min="5890" max="5890" width="8.6640625" style="3"/>
    <col min="5891" max="5891" width="11.6640625" style="3" customWidth="1"/>
    <col min="5892" max="5892" width="9.44140625" style="3" customWidth="1"/>
    <col min="5893" max="5901" width="7.44140625" style="3" customWidth="1"/>
    <col min="5902" max="5902" width="5.33203125" style="3" customWidth="1"/>
    <col min="5903" max="5903" width="9.33203125" style="3" bestFit="1" customWidth="1"/>
    <col min="5904" max="5904" width="12.6640625" style="3" customWidth="1"/>
    <col min="5905" max="6144" width="8.6640625" style="3"/>
    <col min="6145" max="6145" width="5.33203125" style="3" customWidth="1"/>
    <col min="6146" max="6146" width="8.6640625" style="3"/>
    <col min="6147" max="6147" width="11.6640625" style="3" customWidth="1"/>
    <col min="6148" max="6148" width="9.44140625" style="3" customWidth="1"/>
    <col min="6149" max="6157" width="7.44140625" style="3" customWidth="1"/>
    <col min="6158" max="6158" width="5.33203125" style="3" customWidth="1"/>
    <col min="6159" max="6159" width="9.33203125" style="3" bestFit="1" customWidth="1"/>
    <col min="6160" max="6160" width="12.6640625" style="3" customWidth="1"/>
    <col min="6161" max="6400" width="8.6640625" style="3"/>
    <col min="6401" max="6401" width="5.33203125" style="3" customWidth="1"/>
    <col min="6402" max="6402" width="8.6640625" style="3"/>
    <col min="6403" max="6403" width="11.6640625" style="3" customWidth="1"/>
    <col min="6404" max="6404" width="9.44140625" style="3" customWidth="1"/>
    <col min="6405" max="6413" width="7.44140625" style="3" customWidth="1"/>
    <col min="6414" max="6414" width="5.33203125" style="3" customWidth="1"/>
    <col min="6415" max="6415" width="9.33203125" style="3" bestFit="1" customWidth="1"/>
    <col min="6416" max="6416" width="12.6640625" style="3" customWidth="1"/>
    <col min="6417" max="6656" width="8.6640625" style="3"/>
    <col min="6657" max="6657" width="5.33203125" style="3" customWidth="1"/>
    <col min="6658" max="6658" width="8.6640625" style="3"/>
    <col min="6659" max="6659" width="11.6640625" style="3" customWidth="1"/>
    <col min="6660" max="6660" width="9.44140625" style="3" customWidth="1"/>
    <col min="6661" max="6669" width="7.44140625" style="3" customWidth="1"/>
    <col min="6670" max="6670" width="5.33203125" style="3" customWidth="1"/>
    <col min="6671" max="6671" width="9.33203125" style="3" bestFit="1" customWidth="1"/>
    <col min="6672" max="6672" width="12.6640625" style="3" customWidth="1"/>
    <col min="6673" max="6912" width="8.6640625" style="3"/>
    <col min="6913" max="6913" width="5.33203125" style="3" customWidth="1"/>
    <col min="6914" max="6914" width="8.6640625" style="3"/>
    <col min="6915" max="6915" width="11.6640625" style="3" customWidth="1"/>
    <col min="6916" max="6916" width="9.44140625" style="3" customWidth="1"/>
    <col min="6917" max="6925" width="7.44140625" style="3" customWidth="1"/>
    <col min="6926" max="6926" width="5.33203125" style="3" customWidth="1"/>
    <col min="6927" max="6927" width="9.33203125" style="3" bestFit="1" customWidth="1"/>
    <col min="6928" max="6928" width="12.6640625" style="3" customWidth="1"/>
    <col min="6929" max="7168" width="8.6640625" style="3"/>
    <col min="7169" max="7169" width="5.33203125" style="3" customWidth="1"/>
    <col min="7170" max="7170" width="8.6640625" style="3"/>
    <col min="7171" max="7171" width="11.6640625" style="3" customWidth="1"/>
    <col min="7172" max="7172" width="9.44140625" style="3" customWidth="1"/>
    <col min="7173" max="7181" width="7.44140625" style="3" customWidth="1"/>
    <col min="7182" max="7182" width="5.33203125" style="3" customWidth="1"/>
    <col min="7183" max="7183" width="9.33203125" style="3" bestFit="1" customWidth="1"/>
    <col min="7184" max="7184" width="12.6640625" style="3" customWidth="1"/>
    <col min="7185" max="7424" width="8.6640625" style="3"/>
    <col min="7425" max="7425" width="5.33203125" style="3" customWidth="1"/>
    <col min="7426" max="7426" width="8.6640625" style="3"/>
    <col min="7427" max="7427" width="11.6640625" style="3" customWidth="1"/>
    <col min="7428" max="7428" width="9.44140625" style="3" customWidth="1"/>
    <col min="7429" max="7437" width="7.44140625" style="3" customWidth="1"/>
    <col min="7438" max="7438" width="5.33203125" style="3" customWidth="1"/>
    <col min="7439" max="7439" width="9.33203125" style="3" bestFit="1" customWidth="1"/>
    <col min="7440" max="7440" width="12.6640625" style="3" customWidth="1"/>
    <col min="7441" max="7680" width="8.6640625" style="3"/>
    <col min="7681" max="7681" width="5.33203125" style="3" customWidth="1"/>
    <col min="7682" max="7682" width="8.6640625" style="3"/>
    <col min="7683" max="7683" width="11.6640625" style="3" customWidth="1"/>
    <col min="7684" max="7684" width="9.44140625" style="3" customWidth="1"/>
    <col min="7685" max="7693" width="7.44140625" style="3" customWidth="1"/>
    <col min="7694" max="7694" width="5.33203125" style="3" customWidth="1"/>
    <col min="7695" max="7695" width="9.33203125" style="3" bestFit="1" customWidth="1"/>
    <col min="7696" max="7696" width="12.6640625" style="3" customWidth="1"/>
    <col min="7697" max="7936" width="8.6640625" style="3"/>
    <col min="7937" max="7937" width="5.33203125" style="3" customWidth="1"/>
    <col min="7938" max="7938" width="8.6640625" style="3"/>
    <col min="7939" max="7939" width="11.6640625" style="3" customWidth="1"/>
    <col min="7940" max="7940" width="9.44140625" style="3" customWidth="1"/>
    <col min="7941" max="7949" width="7.44140625" style="3" customWidth="1"/>
    <col min="7950" max="7950" width="5.33203125" style="3" customWidth="1"/>
    <col min="7951" max="7951" width="9.33203125" style="3" bestFit="1" customWidth="1"/>
    <col min="7952" max="7952" width="12.6640625" style="3" customWidth="1"/>
    <col min="7953" max="8192" width="8.6640625" style="3"/>
    <col min="8193" max="8193" width="5.33203125" style="3" customWidth="1"/>
    <col min="8194" max="8194" width="8.6640625" style="3"/>
    <col min="8195" max="8195" width="11.6640625" style="3" customWidth="1"/>
    <col min="8196" max="8196" width="9.44140625" style="3" customWidth="1"/>
    <col min="8197" max="8205" width="7.44140625" style="3" customWidth="1"/>
    <col min="8206" max="8206" width="5.33203125" style="3" customWidth="1"/>
    <col min="8207" max="8207" width="9.33203125" style="3" bestFit="1" customWidth="1"/>
    <col min="8208" max="8208" width="12.6640625" style="3" customWidth="1"/>
    <col min="8209" max="8448" width="8.6640625" style="3"/>
    <col min="8449" max="8449" width="5.33203125" style="3" customWidth="1"/>
    <col min="8450" max="8450" width="8.6640625" style="3"/>
    <col min="8451" max="8451" width="11.6640625" style="3" customWidth="1"/>
    <col min="8452" max="8452" width="9.44140625" style="3" customWidth="1"/>
    <col min="8453" max="8461" width="7.44140625" style="3" customWidth="1"/>
    <col min="8462" max="8462" width="5.33203125" style="3" customWidth="1"/>
    <col min="8463" max="8463" width="9.33203125" style="3" bestFit="1" customWidth="1"/>
    <col min="8464" max="8464" width="12.6640625" style="3" customWidth="1"/>
    <col min="8465" max="8704" width="8.6640625" style="3"/>
    <col min="8705" max="8705" width="5.33203125" style="3" customWidth="1"/>
    <col min="8706" max="8706" width="8.6640625" style="3"/>
    <col min="8707" max="8707" width="11.6640625" style="3" customWidth="1"/>
    <col min="8708" max="8708" width="9.44140625" style="3" customWidth="1"/>
    <col min="8709" max="8717" width="7.44140625" style="3" customWidth="1"/>
    <col min="8718" max="8718" width="5.33203125" style="3" customWidth="1"/>
    <col min="8719" max="8719" width="9.33203125" style="3" bestFit="1" customWidth="1"/>
    <col min="8720" max="8720" width="12.6640625" style="3" customWidth="1"/>
    <col min="8721" max="8960" width="8.6640625" style="3"/>
    <col min="8961" max="8961" width="5.33203125" style="3" customWidth="1"/>
    <col min="8962" max="8962" width="8.6640625" style="3"/>
    <col min="8963" max="8963" width="11.6640625" style="3" customWidth="1"/>
    <col min="8964" max="8964" width="9.44140625" style="3" customWidth="1"/>
    <col min="8965" max="8973" width="7.44140625" style="3" customWidth="1"/>
    <col min="8974" max="8974" width="5.33203125" style="3" customWidth="1"/>
    <col min="8975" max="8975" width="9.33203125" style="3" bestFit="1" customWidth="1"/>
    <col min="8976" max="8976" width="12.6640625" style="3" customWidth="1"/>
    <col min="8977" max="9216" width="8.6640625" style="3"/>
    <col min="9217" max="9217" width="5.33203125" style="3" customWidth="1"/>
    <col min="9218" max="9218" width="8.6640625" style="3"/>
    <col min="9219" max="9219" width="11.6640625" style="3" customWidth="1"/>
    <col min="9220" max="9220" width="9.44140625" style="3" customWidth="1"/>
    <col min="9221" max="9229" width="7.44140625" style="3" customWidth="1"/>
    <col min="9230" max="9230" width="5.33203125" style="3" customWidth="1"/>
    <col min="9231" max="9231" width="9.33203125" style="3" bestFit="1" customWidth="1"/>
    <col min="9232" max="9232" width="12.6640625" style="3" customWidth="1"/>
    <col min="9233" max="9472" width="8.6640625" style="3"/>
    <col min="9473" max="9473" width="5.33203125" style="3" customWidth="1"/>
    <col min="9474" max="9474" width="8.6640625" style="3"/>
    <col min="9475" max="9475" width="11.6640625" style="3" customWidth="1"/>
    <col min="9476" max="9476" width="9.44140625" style="3" customWidth="1"/>
    <col min="9477" max="9485" width="7.44140625" style="3" customWidth="1"/>
    <col min="9486" max="9486" width="5.33203125" style="3" customWidth="1"/>
    <col min="9487" max="9487" width="9.33203125" style="3" bestFit="1" customWidth="1"/>
    <col min="9488" max="9488" width="12.6640625" style="3" customWidth="1"/>
    <col min="9489" max="9728" width="8.6640625" style="3"/>
    <col min="9729" max="9729" width="5.33203125" style="3" customWidth="1"/>
    <col min="9730" max="9730" width="8.6640625" style="3"/>
    <col min="9731" max="9731" width="11.6640625" style="3" customWidth="1"/>
    <col min="9732" max="9732" width="9.44140625" style="3" customWidth="1"/>
    <col min="9733" max="9741" width="7.44140625" style="3" customWidth="1"/>
    <col min="9742" max="9742" width="5.33203125" style="3" customWidth="1"/>
    <col min="9743" max="9743" width="9.33203125" style="3" bestFit="1" customWidth="1"/>
    <col min="9744" max="9744" width="12.6640625" style="3" customWidth="1"/>
    <col min="9745" max="9984" width="8.6640625" style="3"/>
    <col min="9985" max="9985" width="5.33203125" style="3" customWidth="1"/>
    <col min="9986" max="9986" width="8.6640625" style="3"/>
    <col min="9987" max="9987" width="11.6640625" style="3" customWidth="1"/>
    <col min="9988" max="9988" width="9.44140625" style="3" customWidth="1"/>
    <col min="9989" max="9997" width="7.44140625" style="3" customWidth="1"/>
    <col min="9998" max="9998" width="5.33203125" style="3" customWidth="1"/>
    <col min="9999" max="9999" width="9.33203125" style="3" bestFit="1" customWidth="1"/>
    <col min="10000" max="10000" width="12.6640625" style="3" customWidth="1"/>
    <col min="10001" max="10240" width="8.6640625" style="3"/>
    <col min="10241" max="10241" width="5.33203125" style="3" customWidth="1"/>
    <col min="10242" max="10242" width="8.6640625" style="3"/>
    <col min="10243" max="10243" width="11.6640625" style="3" customWidth="1"/>
    <col min="10244" max="10244" width="9.44140625" style="3" customWidth="1"/>
    <col min="10245" max="10253" width="7.44140625" style="3" customWidth="1"/>
    <col min="10254" max="10254" width="5.33203125" style="3" customWidth="1"/>
    <col min="10255" max="10255" width="9.33203125" style="3" bestFit="1" customWidth="1"/>
    <col min="10256" max="10256" width="12.6640625" style="3" customWidth="1"/>
    <col min="10257" max="10496" width="8.6640625" style="3"/>
    <col min="10497" max="10497" width="5.33203125" style="3" customWidth="1"/>
    <col min="10498" max="10498" width="8.6640625" style="3"/>
    <col min="10499" max="10499" width="11.6640625" style="3" customWidth="1"/>
    <col min="10500" max="10500" width="9.44140625" style="3" customWidth="1"/>
    <col min="10501" max="10509" width="7.44140625" style="3" customWidth="1"/>
    <col min="10510" max="10510" width="5.33203125" style="3" customWidth="1"/>
    <col min="10511" max="10511" width="9.33203125" style="3" bestFit="1" customWidth="1"/>
    <col min="10512" max="10512" width="12.6640625" style="3" customWidth="1"/>
    <col min="10513" max="10752" width="8.6640625" style="3"/>
    <col min="10753" max="10753" width="5.33203125" style="3" customWidth="1"/>
    <col min="10754" max="10754" width="8.6640625" style="3"/>
    <col min="10755" max="10755" width="11.6640625" style="3" customWidth="1"/>
    <col min="10756" max="10756" width="9.44140625" style="3" customWidth="1"/>
    <col min="10757" max="10765" width="7.44140625" style="3" customWidth="1"/>
    <col min="10766" max="10766" width="5.33203125" style="3" customWidth="1"/>
    <col min="10767" max="10767" width="9.33203125" style="3" bestFit="1" customWidth="1"/>
    <col min="10768" max="10768" width="12.6640625" style="3" customWidth="1"/>
    <col min="10769" max="11008" width="8.6640625" style="3"/>
    <col min="11009" max="11009" width="5.33203125" style="3" customWidth="1"/>
    <col min="11010" max="11010" width="8.6640625" style="3"/>
    <col min="11011" max="11011" width="11.6640625" style="3" customWidth="1"/>
    <col min="11012" max="11012" width="9.44140625" style="3" customWidth="1"/>
    <col min="11013" max="11021" width="7.44140625" style="3" customWidth="1"/>
    <col min="11022" max="11022" width="5.33203125" style="3" customWidth="1"/>
    <col min="11023" max="11023" width="9.33203125" style="3" bestFit="1" customWidth="1"/>
    <col min="11024" max="11024" width="12.6640625" style="3" customWidth="1"/>
    <col min="11025" max="11264" width="8.6640625" style="3"/>
    <col min="11265" max="11265" width="5.33203125" style="3" customWidth="1"/>
    <col min="11266" max="11266" width="8.6640625" style="3"/>
    <col min="11267" max="11267" width="11.6640625" style="3" customWidth="1"/>
    <col min="11268" max="11268" width="9.44140625" style="3" customWidth="1"/>
    <col min="11269" max="11277" width="7.44140625" style="3" customWidth="1"/>
    <col min="11278" max="11278" width="5.33203125" style="3" customWidth="1"/>
    <col min="11279" max="11279" width="9.33203125" style="3" bestFit="1" customWidth="1"/>
    <col min="11280" max="11280" width="12.6640625" style="3" customWidth="1"/>
    <col min="11281" max="11520" width="8.6640625" style="3"/>
    <col min="11521" max="11521" width="5.33203125" style="3" customWidth="1"/>
    <col min="11522" max="11522" width="8.6640625" style="3"/>
    <col min="11523" max="11523" width="11.6640625" style="3" customWidth="1"/>
    <col min="11524" max="11524" width="9.44140625" style="3" customWidth="1"/>
    <col min="11525" max="11533" width="7.44140625" style="3" customWidth="1"/>
    <col min="11534" max="11534" width="5.33203125" style="3" customWidth="1"/>
    <col min="11535" max="11535" width="9.33203125" style="3" bestFit="1" customWidth="1"/>
    <col min="11536" max="11536" width="12.6640625" style="3" customWidth="1"/>
    <col min="11537" max="11776" width="8.6640625" style="3"/>
    <col min="11777" max="11777" width="5.33203125" style="3" customWidth="1"/>
    <col min="11778" max="11778" width="8.6640625" style="3"/>
    <col min="11779" max="11779" width="11.6640625" style="3" customWidth="1"/>
    <col min="11780" max="11780" width="9.44140625" style="3" customWidth="1"/>
    <col min="11781" max="11789" width="7.44140625" style="3" customWidth="1"/>
    <col min="11790" max="11790" width="5.33203125" style="3" customWidth="1"/>
    <col min="11791" max="11791" width="9.33203125" style="3" bestFit="1" customWidth="1"/>
    <col min="11792" max="11792" width="12.6640625" style="3" customWidth="1"/>
    <col min="11793" max="12032" width="8.6640625" style="3"/>
    <col min="12033" max="12033" width="5.33203125" style="3" customWidth="1"/>
    <col min="12034" max="12034" width="8.6640625" style="3"/>
    <col min="12035" max="12035" width="11.6640625" style="3" customWidth="1"/>
    <col min="12036" max="12036" width="9.44140625" style="3" customWidth="1"/>
    <col min="12037" max="12045" width="7.44140625" style="3" customWidth="1"/>
    <col min="12046" max="12046" width="5.33203125" style="3" customWidth="1"/>
    <col min="12047" max="12047" width="9.33203125" style="3" bestFit="1" customWidth="1"/>
    <col min="12048" max="12048" width="12.6640625" style="3" customWidth="1"/>
    <col min="12049" max="12288" width="8.6640625" style="3"/>
    <col min="12289" max="12289" width="5.33203125" style="3" customWidth="1"/>
    <col min="12290" max="12290" width="8.6640625" style="3"/>
    <col min="12291" max="12291" width="11.6640625" style="3" customWidth="1"/>
    <col min="12292" max="12292" width="9.44140625" style="3" customWidth="1"/>
    <col min="12293" max="12301" width="7.44140625" style="3" customWidth="1"/>
    <col min="12302" max="12302" width="5.33203125" style="3" customWidth="1"/>
    <col min="12303" max="12303" width="9.33203125" style="3" bestFit="1" customWidth="1"/>
    <col min="12304" max="12304" width="12.6640625" style="3" customWidth="1"/>
    <col min="12305" max="12544" width="8.6640625" style="3"/>
    <col min="12545" max="12545" width="5.33203125" style="3" customWidth="1"/>
    <col min="12546" max="12546" width="8.6640625" style="3"/>
    <col min="12547" max="12547" width="11.6640625" style="3" customWidth="1"/>
    <col min="12548" max="12548" width="9.44140625" style="3" customWidth="1"/>
    <col min="12549" max="12557" width="7.44140625" style="3" customWidth="1"/>
    <col min="12558" max="12558" width="5.33203125" style="3" customWidth="1"/>
    <col min="12559" max="12559" width="9.33203125" style="3" bestFit="1" customWidth="1"/>
    <col min="12560" max="12560" width="12.6640625" style="3" customWidth="1"/>
    <col min="12561" max="12800" width="8.6640625" style="3"/>
    <col min="12801" max="12801" width="5.33203125" style="3" customWidth="1"/>
    <col min="12802" max="12802" width="8.6640625" style="3"/>
    <col min="12803" max="12803" width="11.6640625" style="3" customWidth="1"/>
    <col min="12804" max="12804" width="9.44140625" style="3" customWidth="1"/>
    <col min="12805" max="12813" width="7.44140625" style="3" customWidth="1"/>
    <col min="12814" max="12814" width="5.33203125" style="3" customWidth="1"/>
    <col min="12815" max="12815" width="9.33203125" style="3" bestFit="1" customWidth="1"/>
    <col min="12816" max="12816" width="12.6640625" style="3" customWidth="1"/>
    <col min="12817" max="13056" width="8.6640625" style="3"/>
    <col min="13057" max="13057" width="5.33203125" style="3" customWidth="1"/>
    <col min="13058" max="13058" width="8.6640625" style="3"/>
    <col min="13059" max="13059" width="11.6640625" style="3" customWidth="1"/>
    <col min="13060" max="13060" width="9.44140625" style="3" customWidth="1"/>
    <col min="13061" max="13069" width="7.44140625" style="3" customWidth="1"/>
    <col min="13070" max="13070" width="5.33203125" style="3" customWidth="1"/>
    <col min="13071" max="13071" width="9.33203125" style="3" bestFit="1" customWidth="1"/>
    <col min="13072" max="13072" width="12.6640625" style="3" customWidth="1"/>
    <col min="13073" max="13312" width="8.6640625" style="3"/>
    <col min="13313" max="13313" width="5.33203125" style="3" customWidth="1"/>
    <col min="13314" max="13314" width="8.6640625" style="3"/>
    <col min="13315" max="13315" width="11.6640625" style="3" customWidth="1"/>
    <col min="13316" max="13316" width="9.44140625" style="3" customWidth="1"/>
    <col min="13317" max="13325" width="7.44140625" style="3" customWidth="1"/>
    <col min="13326" max="13326" width="5.33203125" style="3" customWidth="1"/>
    <col min="13327" max="13327" width="9.33203125" style="3" bestFit="1" customWidth="1"/>
    <col min="13328" max="13328" width="12.6640625" style="3" customWidth="1"/>
    <col min="13329" max="13568" width="8.6640625" style="3"/>
    <col min="13569" max="13569" width="5.33203125" style="3" customWidth="1"/>
    <col min="13570" max="13570" width="8.6640625" style="3"/>
    <col min="13571" max="13571" width="11.6640625" style="3" customWidth="1"/>
    <col min="13572" max="13572" width="9.44140625" style="3" customWidth="1"/>
    <col min="13573" max="13581" width="7.44140625" style="3" customWidth="1"/>
    <col min="13582" max="13582" width="5.33203125" style="3" customWidth="1"/>
    <col min="13583" max="13583" width="9.33203125" style="3" bestFit="1" customWidth="1"/>
    <col min="13584" max="13584" width="12.6640625" style="3" customWidth="1"/>
    <col min="13585" max="13824" width="8.6640625" style="3"/>
    <col min="13825" max="13825" width="5.33203125" style="3" customWidth="1"/>
    <col min="13826" max="13826" width="8.6640625" style="3"/>
    <col min="13827" max="13827" width="11.6640625" style="3" customWidth="1"/>
    <col min="13828" max="13828" width="9.44140625" style="3" customWidth="1"/>
    <col min="13829" max="13837" width="7.44140625" style="3" customWidth="1"/>
    <col min="13838" max="13838" width="5.33203125" style="3" customWidth="1"/>
    <col min="13839" max="13839" width="9.33203125" style="3" bestFit="1" customWidth="1"/>
    <col min="13840" max="13840" width="12.6640625" style="3" customWidth="1"/>
    <col min="13841" max="14080" width="8.6640625" style="3"/>
    <col min="14081" max="14081" width="5.33203125" style="3" customWidth="1"/>
    <col min="14082" max="14082" width="8.6640625" style="3"/>
    <col min="14083" max="14083" width="11.6640625" style="3" customWidth="1"/>
    <col min="14084" max="14084" width="9.44140625" style="3" customWidth="1"/>
    <col min="14085" max="14093" width="7.44140625" style="3" customWidth="1"/>
    <col min="14094" max="14094" width="5.33203125" style="3" customWidth="1"/>
    <col min="14095" max="14095" width="9.33203125" style="3" bestFit="1" customWidth="1"/>
    <col min="14096" max="14096" width="12.6640625" style="3" customWidth="1"/>
    <col min="14097" max="14336" width="8.6640625" style="3"/>
    <col min="14337" max="14337" width="5.33203125" style="3" customWidth="1"/>
    <col min="14338" max="14338" width="8.6640625" style="3"/>
    <col min="14339" max="14339" width="11.6640625" style="3" customWidth="1"/>
    <col min="14340" max="14340" width="9.44140625" style="3" customWidth="1"/>
    <col min="14341" max="14349" width="7.44140625" style="3" customWidth="1"/>
    <col min="14350" max="14350" width="5.33203125" style="3" customWidth="1"/>
    <col min="14351" max="14351" width="9.33203125" style="3" bestFit="1" customWidth="1"/>
    <col min="14352" max="14352" width="12.6640625" style="3" customWidth="1"/>
    <col min="14353" max="14592" width="8.6640625" style="3"/>
    <col min="14593" max="14593" width="5.33203125" style="3" customWidth="1"/>
    <col min="14594" max="14594" width="8.6640625" style="3"/>
    <col min="14595" max="14595" width="11.6640625" style="3" customWidth="1"/>
    <col min="14596" max="14596" width="9.44140625" style="3" customWidth="1"/>
    <col min="14597" max="14605" width="7.44140625" style="3" customWidth="1"/>
    <col min="14606" max="14606" width="5.33203125" style="3" customWidth="1"/>
    <col min="14607" max="14607" width="9.33203125" style="3" bestFit="1" customWidth="1"/>
    <col min="14608" max="14608" width="12.6640625" style="3" customWidth="1"/>
    <col min="14609" max="14848" width="8.6640625" style="3"/>
    <col min="14849" max="14849" width="5.33203125" style="3" customWidth="1"/>
    <col min="14850" max="14850" width="8.6640625" style="3"/>
    <col min="14851" max="14851" width="11.6640625" style="3" customWidth="1"/>
    <col min="14852" max="14852" width="9.44140625" style="3" customWidth="1"/>
    <col min="14853" max="14861" width="7.44140625" style="3" customWidth="1"/>
    <col min="14862" max="14862" width="5.33203125" style="3" customWidth="1"/>
    <col min="14863" max="14863" width="9.33203125" style="3" bestFit="1" customWidth="1"/>
    <col min="14864" max="14864" width="12.6640625" style="3" customWidth="1"/>
    <col min="14865" max="15104" width="8.6640625" style="3"/>
    <col min="15105" max="15105" width="5.33203125" style="3" customWidth="1"/>
    <col min="15106" max="15106" width="8.6640625" style="3"/>
    <col min="15107" max="15107" width="11.6640625" style="3" customWidth="1"/>
    <col min="15108" max="15108" width="9.44140625" style="3" customWidth="1"/>
    <col min="15109" max="15117" width="7.44140625" style="3" customWidth="1"/>
    <col min="15118" max="15118" width="5.33203125" style="3" customWidth="1"/>
    <col min="15119" max="15119" width="9.33203125" style="3" bestFit="1" customWidth="1"/>
    <col min="15120" max="15120" width="12.6640625" style="3" customWidth="1"/>
    <col min="15121" max="15360" width="8.6640625" style="3"/>
    <col min="15361" max="15361" width="5.33203125" style="3" customWidth="1"/>
    <col min="15362" max="15362" width="8.6640625" style="3"/>
    <col min="15363" max="15363" width="11.6640625" style="3" customWidth="1"/>
    <col min="15364" max="15364" width="9.44140625" style="3" customWidth="1"/>
    <col min="15365" max="15373" width="7.44140625" style="3" customWidth="1"/>
    <col min="15374" max="15374" width="5.33203125" style="3" customWidth="1"/>
    <col min="15375" max="15375" width="9.33203125" style="3" bestFit="1" customWidth="1"/>
    <col min="15376" max="15376" width="12.6640625" style="3" customWidth="1"/>
    <col min="15377" max="15616" width="8.6640625" style="3"/>
    <col min="15617" max="15617" width="5.33203125" style="3" customWidth="1"/>
    <col min="15618" max="15618" width="8.6640625" style="3"/>
    <col min="15619" max="15619" width="11.6640625" style="3" customWidth="1"/>
    <col min="15620" max="15620" width="9.44140625" style="3" customWidth="1"/>
    <col min="15621" max="15629" width="7.44140625" style="3" customWidth="1"/>
    <col min="15630" max="15630" width="5.33203125" style="3" customWidth="1"/>
    <col min="15631" max="15631" width="9.33203125" style="3" bestFit="1" customWidth="1"/>
    <col min="15632" max="15632" width="12.6640625" style="3" customWidth="1"/>
    <col min="15633" max="15872" width="8.6640625" style="3"/>
    <col min="15873" max="15873" width="5.33203125" style="3" customWidth="1"/>
    <col min="15874" max="15874" width="8.6640625" style="3"/>
    <col min="15875" max="15875" width="11.6640625" style="3" customWidth="1"/>
    <col min="15876" max="15876" width="9.44140625" style="3" customWidth="1"/>
    <col min="15877" max="15885" width="7.44140625" style="3" customWidth="1"/>
    <col min="15886" max="15886" width="5.33203125" style="3" customWidth="1"/>
    <col min="15887" max="15887" width="9.33203125" style="3" bestFit="1" customWidth="1"/>
    <col min="15888" max="15888" width="12.6640625" style="3" customWidth="1"/>
    <col min="15889" max="16128" width="8.6640625" style="3"/>
    <col min="16129" max="16129" width="5.33203125" style="3" customWidth="1"/>
    <col min="16130" max="16130" width="8.6640625" style="3"/>
    <col min="16131" max="16131" width="11.6640625" style="3" customWidth="1"/>
    <col min="16132" max="16132" width="9.44140625" style="3" customWidth="1"/>
    <col min="16133" max="16141" width="7.44140625" style="3" customWidth="1"/>
    <col min="16142" max="16142" width="5.33203125" style="3" customWidth="1"/>
    <col min="16143" max="16143" width="9.33203125" style="3" bestFit="1" customWidth="1"/>
    <col min="16144" max="16144" width="12.6640625" style="3" customWidth="1"/>
    <col min="16145" max="16384" width="8.6640625" style="3"/>
  </cols>
  <sheetData>
    <row r="1" spans="1:17" ht="24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7" ht="17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7" ht="15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7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7" ht="12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7" ht="14.25" customHeight="1" x14ac:dyDescent="0.3">
      <c r="A6" s="1"/>
      <c r="B6" s="4" t="s">
        <v>0</v>
      </c>
      <c r="C6" s="1"/>
      <c r="D6" s="1"/>
      <c r="E6" s="5"/>
      <c r="F6" s="5"/>
      <c r="G6" s="5"/>
      <c r="H6" s="5"/>
      <c r="I6" s="5"/>
      <c r="J6" s="5"/>
      <c r="K6" s="5"/>
      <c r="L6" s="5"/>
      <c r="M6" s="5"/>
      <c r="N6" s="1"/>
    </row>
    <row r="7" spans="1:17" ht="14.25" customHeight="1" x14ac:dyDescent="0.3">
      <c r="A7" s="1"/>
      <c r="B7" s="6" t="s">
        <v>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1"/>
    </row>
    <row r="8" spans="1:17" ht="3" customHeight="1" thickBot="1" x14ac:dyDescent="0.35">
      <c r="A8" s="1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1"/>
    </row>
    <row r="9" spans="1:17" ht="13.9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7" ht="18.75" customHeight="1" x14ac:dyDescent="0.3">
      <c r="A10" s="1"/>
      <c r="B10" s="8" t="s">
        <v>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10"/>
      <c r="N10" s="1"/>
    </row>
    <row r="11" spans="1:17" ht="6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 ht="18.75" customHeight="1" x14ac:dyDescent="0.3">
      <c r="A12" s="1"/>
      <c r="B12" s="11"/>
      <c r="C12" s="11"/>
      <c r="D12" s="11"/>
      <c r="E12" s="12" t="s">
        <v>3</v>
      </c>
      <c r="F12" s="12"/>
      <c r="G12" s="12"/>
      <c r="H12" s="12" t="s">
        <v>4</v>
      </c>
      <c r="I12" s="12"/>
      <c r="J12" s="12"/>
      <c r="K12" s="12" t="s">
        <v>5</v>
      </c>
      <c r="L12" s="12"/>
      <c r="M12" s="12"/>
      <c r="N12" s="1"/>
      <c r="P12" s="13"/>
    </row>
    <row r="13" spans="1:17" ht="18.75" customHeight="1" x14ac:dyDescent="0.3">
      <c r="A13" s="1"/>
      <c r="B13" s="11"/>
      <c r="C13" s="11"/>
      <c r="D13" s="11"/>
      <c r="E13" s="14" t="s">
        <v>6</v>
      </c>
      <c r="F13" s="14" t="s">
        <v>7</v>
      </c>
      <c r="G13" s="14" t="s">
        <v>5</v>
      </c>
      <c r="H13" s="14" t="s">
        <v>6</v>
      </c>
      <c r="I13" s="14" t="s">
        <v>7</v>
      </c>
      <c r="J13" s="14" t="s">
        <v>5</v>
      </c>
      <c r="K13" s="14" t="s">
        <v>6</v>
      </c>
      <c r="L13" s="14" t="s">
        <v>7</v>
      </c>
      <c r="M13" s="14" t="s">
        <v>5</v>
      </c>
      <c r="N13" s="1"/>
      <c r="P13" s="2" t="s">
        <v>8</v>
      </c>
      <c r="Q13" s="2" t="s">
        <v>9</v>
      </c>
    </row>
    <row r="14" spans="1:17" ht="12.6" customHeight="1" x14ac:dyDescent="0.3">
      <c r="A14" s="1"/>
      <c r="B14" s="15" t="s">
        <v>10</v>
      </c>
      <c r="C14" s="15"/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"/>
      <c r="O14" s="2" t="s">
        <v>3</v>
      </c>
      <c r="P14" s="13">
        <f>E15</f>
        <v>43674</v>
      </c>
      <c r="Q14" s="13">
        <f>F15</f>
        <v>47667</v>
      </c>
    </row>
    <row r="15" spans="1:17" ht="12.6" customHeight="1" x14ac:dyDescent="0.3">
      <c r="A15" s="1"/>
      <c r="B15" s="17" t="s">
        <v>11</v>
      </c>
      <c r="C15" s="1"/>
      <c r="D15" s="1"/>
      <c r="E15" s="18">
        <v>43674</v>
      </c>
      <c r="F15" s="18">
        <v>47667</v>
      </c>
      <c r="G15" s="18">
        <v>91341</v>
      </c>
      <c r="H15" s="18">
        <v>5685</v>
      </c>
      <c r="I15" s="18">
        <v>6280</v>
      </c>
      <c r="J15" s="18">
        <v>11965</v>
      </c>
      <c r="K15" s="18">
        <v>49359</v>
      </c>
      <c r="L15" s="18">
        <v>53947</v>
      </c>
      <c r="M15" s="18">
        <v>103306</v>
      </c>
      <c r="N15" s="1"/>
      <c r="O15" s="2" t="s">
        <v>4</v>
      </c>
      <c r="P15" s="13">
        <f>H15</f>
        <v>5685</v>
      </c>
      <c r="Q15" s="13">
        <f>I15</f>
        <v>6280</v>
      </c>
    </row>
    <row r="16" spans="1:17" ht="12.6" customHeight="1" x14ac:dyDescent="0.3">
      <c r="A16" s="1"/>
      <c r="B16" s="15" t="s">
        <v>12</v>
      </c>
      <c r="C16" s="15"/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"/>
      <c r="P16" s="13"/>
    </row>
    <row r="17" spans="1:17" ht="12.6" customHeight="1" x14ac:dyDescent="0.3">
      <c r="A17" s="1"/>
      <c r="B17" s="17" t="s">
        <v>13</v>
      </c>
      <c r="C17" s="1"/>
      <c r="D17" s="1"/>
      <c r="E17" s="18">
        <v>41543</v>
      </c>
      <c r="F17" s="18">
        <v>45119</v>
      </c>
      <c r="G17" s="18">
        <v>86662</v>
      </c>
      <c r="H17" s="18">
        <v>5685</v>
      </c>
      <c r="I17" s="18">
        <v>6280</v>
      </c>
      <c r="J17" s="18">
        <v>11965</v>
      </c>
      <c r="K17" s="18">
        <v>47228</v>
      </c>
      <c r="L17" s="18">
        <v>51399</v>
      </c>
      <c r="M17" s="18">
        <v>98627</v>
      </c>
      <c r="N17" s="1"/>
      <c r="P17" s="13"/>
    </row>
    <row r="18" spans="1:17" ht="12.6" customHeight="1" x14ac:dyDescent="0.3">
      <c r="A18" s="1"/>
      <c r="B18" s="15" t="s">
        <v>14</v>
      </c>
      <c r="C18" s="15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"/>
      <c r="O18" s="19"/>
      <c r="P18" s="20"/>
      <c r="Q18" s="3"/>
    </row>
    <row r="19" spans="1:17" ht="15" customHeight="1" x14ac:dyDescent="0.3">
      <c r="A19" s="1"/>
      <c r="B19" s="11" t="s">
        <v>15</v>
      </c>
      <c r="C19" s="11"/>
      <c r="D19" s="21" t="s">
        <v>16</v>
      </c>
      <c r="E19" s="12" t="s">
        <v>17</v>
      </c>
      <c r="F19" s="12"/>
      <c r="G19" s="12"/>
      <c r="H19" s="12"/>
      <c r="I19" s="12"/>
      <c r="J19" s="12"/>
      <c r="K19" s="12"/>
      <c r="L19" s="12"/>
      <c r="M19" s="12"/>
      <c r="N19" s="1"/>
      <c r="P19" s="13"/>
    </row>
    <row r="20" spans="1:17" ht="15" customHeight="1" x14ac:dyDescent="0.3">
      <c r="A20" s="1"/>
      <c r="B20" s="11"/>
      <c r="C20" s="11"/>
      <c r="D20" s="21"/>
      <c r="E20" s="12" t="s">
        <v>3</v>
      </c>
      <c r="F20" s="12"/>
      <c r="G20" s="12"/>
      <c r="H20" s="12" t="s">
        <v>4</v>
      </c>
      <c r="I20" s="12"/>
      <c r="J20" s="12"/>
      <c r="K20" s="12" t="s">
        <v>5</v>
      </c>
      <c r="L20" s="12"/>
      <c r="M20" s="12"/>
      <c r="N20" s="1"/>
      <c r="P20" s="13"/>
    </row>
    <row r="21" spans="1:17" ht="15" customHeight="1" x14ac:dyDescent="0.3">
      <c r="A21" s="1"/>
      <c r="B21" s="11"/>
      <c r="C21" s="11"/>
      <c r="D21" s="21"/>
      <c r="E21" s="14" t="s">
        <v>6</v>
      </c>
      <c r="F21" s="14" t="s">
        <v>7</v>
      </c>
      <c r="G21" s="14" t="s">
        <v>5</v>
      </c>
      <c r="H21" s="14" t="s">
        <v>6</v>
      </c>
      <c r="I21" s="14" t="s">
        <v>7</v>
      </c>
      <c r="J21" s="14" t="s">
        <v>5</v>
      </c>
      <c r="K21" s="14" t="s">
        <v>6</v>
      </c>
      <c r="L21" s="14" t="s">
        <v>7</v>
      </c>
      <c r="M21" s="14" t="s">
        <v>5</v>
      </c>
      <c r="N21" s="1"/>
      <c r="P21" s="13"/>
    </row>
    <row r="22" spans="1:17" ht="12.6" customHeight="1" x14ac:dyDescent="0.3">
      <c r="A22" s="1"/>
      <c r="B22" s="17" t="s">
        <v>18</v>
      </c>
      <c r="C22" s="1"/>
      <c r="D22" s="18">
        <v>17</v>
      </c>
      <c r="E22" s="18">
        <v>236</v>
      </c>
      <c r="F22" s="18">
        <v>345</v>
      </c>
      <c r="G22" s="18">
        <v>581</v>
      </c>
      <c r="H22" s="18">
        <v>32</v>
      </c>
      <c r="I22" s="18">
        <v>33</v>
      </c>
      <c r="J22" s="18">
        <v>65</v>
      </c>
      <c r="K22" s="18">
        <v>268</v>
      </c>
      <c r="L22" s="18">
        <v>378</v>
      </c>
      <c r="M22" s="18">
        <v>646</v>
      </c>
      <c r="N22" s="1"/>
      <c r="O22" s="22"/>
      <c r="P22" s="13"/>
    </row>
    <row r="23" spans="1:17" ht="12.6" customHeight="1" x14ac:dyDescent="0.3">
      <c r="A23" s="1"/>
      <c r="B23" s="17" t="s">
        <v>19</v>
      </c>
      <c r="C23" s="1"/>
      <c r="D23" s="18">
        <v>13</v>
      </c>
      <c r="E23" s="18">
        <v>139</v>
      </c>
      <c r="F23" s="18">
        <v>197</v>
      </c>
      <c r="G23" s="18">
        <v>336</v>
      </c>
      <c r="H23" s="18">
        <v>0</v>
      </c>
      <c r="I23" s="18">
        <v>0</v>
      </c>
      <c r="J23" s="18">
        <v>0</v>
      </c>
      <c r="K23" s="18">
        <v>139</v>
      </c>
      <c r="L23" s="18">
        <v>197</v>
      </c>
      <c r="M23" s="18">
        <v>336</v>
      </c>
      <c r="N23" s="1"/>
      <c r="O23" s="22"/>
      <c r="P23" s="13"/>
    </row>
    <row r="24" spans="1:17" ht="12.6" customHeight="1" x14ac:dyDescent="0.3">
      <c r="A24" s="1"/>
      <c r="B24" s="17" t="s">
        <v>20</v>
      </c>
      <c r="C24" s="1"/>
      <c r="D24" s="18">
        <v>4</v>
      </c>
      <c r="E24" s="18">
        <v>32</v>
      </c>
      <c r="F24" s="18">
        <v>53</v>
      </c>
      <c r="G24" s="18">
        <v>85</v>
      </c>
      <c r="H24" s="18">
        <v>0</v>
      </c>
      <c r="I24" s="18">
        <v>0</v>
      </c>
      <c r="J24" s="18">
        <v>0</v>
      </c>
      <c r="K24" s="18">
        <v>32</v>
      </c>
      <c r="L24" s="18">
        <v>53</v>
      </c>
      <c r="M24" s="18">
        <v>85</v>
      </c>
      <c r="N24" s="1"/>
      <c r="O24" s="22"/>
      <c r="P24" s="13"/>
    </row>
    <row r="25" spans="1:17" ht="12.6" customHeight="1" x14ac:dyDescent="0.3">
      <c r="A25" s="1"/>
      <c r="B25" s="17" t="s">
        <v>21</v>
      </c>
      <c r="C25" s="1"/>
      <c r="D25" s="18">
        <v>3</v>
      </c>
      <c r="E25" s="18">
        <v>44</v>
      </c>
      <c r="F25" s="18">
        <v>58</v>
      </c>
      <c r="G25" s="18">
        <v>102</v>
      </c>
      <c r="H25" s="18">
        <v>0</v>
      </c>
      <c r="I25" s="18">
        <v>0</v>
      </c>
      <c r="J25" s="18">
        <v>0</v>
      </c>
      <c r="K25" s="18">
        <v>44</v>
      </c>
      <c r="L25" s="18">
        <v>58</v>
      </c>
      <c r="M25" s="18">
        <v>102</v>
      </c>
      <c r="N25" s="1"/>
      <c r="O25" s="22"/>
      <c r="P25" s="13"/>
    </row>
    <row r="26" spans="1:17" ht="12.6" customHeight="1" x14ac:dyDescent="0.3">
      <c r="A26" s="1"/>
      <c r="B26" s="17" t="s">
        <v>22</v>
      </c>
      <c r="C26" s="1"/>
      <c r="D26" s="18">
        <v>3</v>
      </c>
      <c r="E26" s="18">
        <v>145</v>
      </c>
      <c r="F26" s="18">
        <v>188</v>
      </c>
      <c r="G26" s="18">
        <v>333</v>
      </c>
      <c r="H26" s="18">
        <v>0</v>
      </c>
      <c r="I26" s="18">
        <v>0</v>
      </c>
      <c r="J26" s="18">
        <v>0</v>
      </c>
      <c r="K26" s="18">
        <v>145</v>
      </c>
      <c r="L26" s="18">
        <v>188</v>
      </c>
      <c r="M26" s="18">
        <v>333</v>
      </c>
      <c r="N26" s="1"/>
      <c r="O26" s="22"/>
      <c r="P26" s="13"/>
    </row>
    <row r="27" spans="1:17" ht="12.6" customHeight="1" x14ac:dyDescent="0.3">
      <c r="A27" s="1"/>
      <c r="B27" s="17" t="s">
        <v>23</v>
      </c>
      <c r="C27" s="1"/>
      <c r="D27" s="18">
        <v>2</v>
      </c>
      <c r="E27" s="18">
        <v>5</v>
      </c>
      <c r="F27" s="18">
        <v>8</v>
      </c>
      <c r="G27" s="18">
        <v>13</v>
      </c>
      <c r="H27" s="18">
        <v>0</v>
      </c>
      <c r="I27" s="18">
        <v>6</v>
      </c>
      <c r="J27" s="18">
        <v>6</v>
      </c>
      <c r="K27" s="18">
        <v>5</v>
      </c>
      <c r="L27" s="18">
        <v>14</v>
      </c>
      <c r="M27" s="18">
        <v>19</v>
      </c>
      <c r="N27" s="1"/>
      <c r="O27" s="22"/>
      <c r="P27" s="13"/>
    </row>
    <row r="28" spans="1:17" ht="12.6" customHeight="1" x14ac:dyDescent="0.3">
      <c r="A28" s="1"/>
      <c r="B28" s="17" t="s">
        <v>24</v>
      </c>
      <c r="C28" s="1"/>
      <c r="D28" s="18">
        <v>2</v>
      </c>
      <c r="E28" s="18">
        <v>53</v>
      </c>
      <c r="F28" s="18">
        <v>77</v>
      </c>
      <c r="G28" s="18">
        <v>130</v>
      </c>
      <c r="H28" s="18">
        <v>229</v>
      </c>
      <c r="I28" s="18">
        <v>181</v>
      </c>
      <c r="J28" s="18">
        <v>410</v>
      </c>
      <c r="K28" s="18">
        <v>282</v>
      </c>
      <c r="L28" s="18">
        <v>258</v>
      </c>
      <c r="M28" s="18">
        <v>540</v>
      </c>
      <c r="N28" s="1"/>
      <c r="O28" s="22"/>
      <c r="P28" s="13"/>
    </row>
    <row r="29" spans="1:17" s="19" customFormat="1" ht="12.6" customHeight="1" x14ac:dyDescent="0.3">
      <c r="A29" s="1"/>
      <c r="B29" s="17" t="s">
        <v>25</v>
      </c>
      <c r="C29" s="1"/>
      <c r="D29" s="18">
        <v>2</v>
      </c>
      <c r="E29" s="18">
        <v>1717</v>
      </c>
      <c r="F29" s="18">
        <v>1584</v>
      </c>
      <c r="G29" s="18">
        <v>3301</v>
      </c>
      <c r="H29" s="18">
        <v>0</v>
      </c>
      <c r="I29" s="18">
        <v>0</v>
      </c>
      <c r="J29" s="18">
        <v>0</v>
      </c>
      <c r="K29" s="18">
        <v>1717</v>
      </c>
      <c r="L29" s="18">
        <v>1584</v>
      </c>
      <c r="M29" s="18">
        <v>3301</v>
      </c>
      <c r="N29" s="1"/>
      <c r="O29" s="22"/>
      <c r="P29" s="2"/>
      <c r="Q29" s="2"/>
    </row>
    <row r="30" spans="1:17" ht="12.6" customHeight="1" x14ac:dyDescent="0.3">
      <c r="A30" s="1"/>
      <c r="B30" s="17" t="s">
        <v>26</v>
      </c>
      <c r="C30" s="1"/>
      <c r="D30" s="18">
        <v>1</v>
      </c>
      <c r="E30" s="18">
        <v>18</v>
      </c>
      <c r="F30" s="18">
        <v>23</v>
      </c>
      <c r="G30" s="18">
        <v>41</v>
      </c>
      <c r="H30" s="18">
        <v>0</v>
      </c>
      <c r="I30" s="18">
        <v>0</v>
      </c>
      <c r="J30" s="18">
        <v>0</v>
      </c>
      <c r="K30" s="18">
        <v>18</v>
      </c>
      <c r="L30" s="18">
        <v>23</v>
      </c>
      <c r="M30" s="18">
        <v>41</v>
      </c>
      <c r="N30" s="1"/>
      <c r="O30" s="22"/>
      <c r="P30" s="13"/>
    </row>
    <row r="31" spans="1:17" ht="12.6" customHeight="1" x14ac:dyDescent="0.3">
      <c r="A31" s="1"/>
      <c r="B31" s="17" t="s">
        <v>27</v>
      </c>
      <c r="C31" s="1"/>
      <c r="D31" s="18">
        <v>1</v>
      </c>
      <c r="E31" s="18">
        <v>1555</v>
      </c>
      <c r="F31" s="18">
        <v>1775</v>
      </c>
      <c r="G31" s="18">
        <v>3330</v>
      </c>
      <c r="H31" s="18">
        <v>0</v>
      </c>
      <c r="I31" s="18">
        <v>0</v>
      </c>
      <c r="J31" s="18">
        <v>0</v>
      </c>
      <c r="K31" s="18">
        <v>1555</v>
      </c>
      <c r="L31" s="18">
        <v>1775</v>
      </c>
      <c r="M31" s="18">
        <v>3330</v>
      </c>
      <c r="N31" s="1"/>
      <c r="O31" s="22"/>
      <c r="P31" s="13"/>
    </row>
    <row r="32" spans="1:17" ht="12.6" customHeight="1" x14ac:dyDescent="0.3">
      <c r="A32" s="1"/>
      <c r="B32" s="23" t="s">
        <v>5</v>
      </c>
      <c r="C32" s="23"/>
      <c r="D32" s="24">
        <f>SUM(D22:D31)</f>
        <v>48</v>
      </c>
      <c r="E32" s="24">
        <f t="shared" ref="E32:M32" si="0">SUM(E22:E31)</f>
        <v>3944</v>
      </c>
      <c r="F32" s="24">
        <f t="shared" si="0"/>
        <v>4308</v>
      </c>
      <c r="G32" s="24">
        <f t="shared" si="0"/>
        <v>8252</v>
      </c>
      <c r="H32" s="24">
        <f t="shared" si="0"/>
        <v>261</v>
      </c>
      <c r="I32" s="24">
        <f t="shared" si="0"/>
        <v>220</v>
      </c>
      <c r="J32" s="24">
        <f t="shared" si="0"/>
        <v>481</v>
      </c>
      <c r="K32" s="24">
        <f t="shared" si="0"/>
        <v>4205</v>
      </c>
      <c r="L32" s="24">
        <f t="shared" si="0"/>
        <v>4528</v>
      </c>
      <c r="M32" s="24">
        <f t="shared" si="0"/>
        <v>8733</v>
      </c>
      <c r="N32" s="1"/>
      <c r="O32" s="22"/>
      <c r="P32" s="13"/>
    </row>
    <row r="33" spans="1:17" s="31" customFormat="1" ht="18.600000000000001" customHeight="1" x14ac:dyDescent="0.3">
      <c r="A33" s="25"/>
      <c r="B33" s="26"/>
      <c r="C33" s="26"/>
      <c r="D33" s="27"/>
      <c r="E33" s="27"/>
      <c r="F33" s="27"/>
      <c r="G33" s="27"/>
      <c r="H33" s="28" t="s">
        <v>8</v>
      </c>
      <c r="I33" s="28"/>
      <c r="J33" s="28" t="s">
        <v>9</v>
      </c>
      <c r="K33" s="28"/>
      <c r="L33" s="28" t="s">
        <v>5</v>
      </c>
      <c r="M33" s="28"/>
      <c r="N33" s="25"/>
      <c r="O33" s="29"/>
      <c r="P33" s="30"/>
    </row>
    <row r="34" spans="1:17" ht="12.6" customHeight="1" x14ac:dyDescent="0.3">
      <c r="A34" s="1"/>
      <c r="B34" s="15" t="s">
        <v>28</v>
      </c>
      <c r="C34" s="15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"/>
      <c r="P34" s="13"/>
    </row>
    <row r="35" spans="1:17" ht="12.6" customHeight="1" x14ac:dyDescent="0.3">
      <c r="A35" s="1"/>
      <c r="B35" s="17" t="s">
        <v>29</v>
      </c>
      <c r="C35" s="1"/>
      <c r="D35" s="1"/>
      <c r="E35" s="18"/>
      <c r="F35" s="18"/>
      <c r="G35" s="18"/>
      <c r="H35" s="18"/>
      <c r="I35" s="18">
        <v>6</v>
      </c>
      <c r="J35" s="18"/>
      <c r="K35" s="18">
        <v>0</v>
      </c>
      <c r="L35" s="18"/>
      <c r="M35" s="18">
        <v>6</v>
      </c>
      <c r="N35" s="1"/>
      <c r="P35" s="13"/>
    </row>
    <row r="36" spans="1:17" ht="12.6" customHeight="1" x14ac:dyDescent="0.3">
      <c r="A36" s="1"/>
      <c r="B36" s="15" t="s">
        <v>30</v>
      </c>
      <c r="C36" s="15"/>
      <c r="D36" s="15"/>
      <c r="E36" s="16"/>
      <c r="F36" s="16"/>
      <c r="G36" s="16"/>
      <c r="H36" s="16"/>
      <c r="I36" s="16"/>
      <c r="J36" s="16"/>
      <c r="K36" s="16"/>
      <c r="L36" s="16"/>
      <c r="M36" s="16"/>
      <c r="N36" s="1"/>
      <c r="P36" s="13"/>
    </row>
    <row r="37" spans="1:17" ht="12.6" customHeight="1" x14ac:dyDescent="0.3">
      <c r="A37" s="1"/>
      <c r="B37" s="17" t="s">
        <v>29</v>
      </c>
      <c r="C37" s="1"/>
      <c r="D37" s="1"/>
      <c r="E37" s="18"/>
      <c r="F37" s="18"/>
      <c r="G37" s="18"/>
      <c r="H37" s="18"/>
      <c r="I37" s="18">
        <v>214</v>
      </c>
      <c r="J37" s="18"/>
      <c r="K37" s="18">
        <v>259</v>
      </c>
      <c r="L37" s="18"/>
      <c r="M37" s="18">
        <v>473</v>
      </c>
      <c r="N37" s="1"/>
      <c r="P37" s="13"/>
    </row>
    <row r="38" spans="1:17" ht="2.4" customHeight="1" thickBot="1" x14ac:dyDescent="0.35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"/>
    </row>
    <row r="39" spans="1:17" s="19" customFormat="1" ht="12.75" customHeight="1" x14ac:dyDescent="0.3">
      <c r="A39" s="1"/>
      <c r="B39" s="32" t="s">
        <v>31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2"/>
    </row>
    <row r="40" spans="1:17" s="19" customForma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2"/>
      <c r="Q40" s="2"/>
    </row>
    <row r="41" spans="1:17" s="19" customForma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2"/>
      <c r="Q41" s="2"/>
    </row>
    <row r="42" spans="1:17" s="19" customFormat="1" ht="13.8" x14ac:dyDescent="0.3">
      <c r="A42" s="1"/>
      <c r="B42" s="33" t="s">
        <v>32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2"/>
      <c r="Q42" s="2"/>
    </row>
    <row r="43" spans="1:17" s="19" customForma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2"/>
      <c r="Q43" s="2"/>
    </row>
    <row r="44" spans="1:17" s="19" customForma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2"/>
      <c r="Q44" s="2"/>
    </row>
    <row r="45" spans="1:17" s="19" customForma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2"/>
      <c r="Q45" s="2"/>
    </row>
    <row r="46" spans="1:17" s="19" customForma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  <c r="Q46" s="2"/>
    </row>
    <row r="47" spans="1:17" s="19" customForma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  <c r="Q47" s="2"/>
    </row>
    <row r="48" spans="1:17" s="19" customForma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2"/>
      <c r="Q48" s="2"/>
    </row>
    <row r="49" spans="1:17" s="19" customForma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2"/>
      <c r="Q49" s="2"/>
    </row>
    <row r="50" spans="1:17" s="19" customForma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2"/>
    </row>
    <row r="51" spans="1:17" s="19" customFormat="1" ht="13.8" x14ac:dyDescent="0.3">
      <c r="A51" s="1"/>
      <c r="B51" s="3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Q51" s="2"/>
    </row>
    <row r="52" spans="1:17" s="19" customForma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Q52" s="2"/>
    </row>
    <row r="53" spans="1:17" s="19" customForma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2"/>
      <c r="Q53" s="2"/>
    </row>
    <row r="54" spans="1:17" s="19" customForma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2"/>
      <c r="Q54" s="2"/>
    </row>
    <row r="55" spans="1:17" s="19" customForma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2"/>
      <c r="Q55" s="2"/>
    </row>
    <row r="56" spans="1:17" s="19" customForma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2"/>
      <c r="Q56" s="2"/>
    </row>
    <row r="57" spans="1:17" s="19" customForma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2"/>
      <c r="Q57" s="2"/>
    </row>
    <row r="58" spans="1:17" s="19" customForma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2"/>
      <c r="Q58" s="2"/>
    </row>
    <row r="59" spans="1:17" s="19" customForma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2"/>
      <c r="Q59" s="2"/>
    </row>
    <row r="60" spans="1:17" s="19" customForma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2"/>
      <c r="Q60" s="2"/>
    </row>
    <row r="61" spans="1:17" s="19" customFormat="1" ht="12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2"/>
      <c r="Q61" s="2"/>
    </row>
    <row r="62" spans="1:17" s="19" customFormat="1" ht="7.9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2"/>
      <c r="Q62" s="2"/>
    </row>
    <row r="63" spans="1:17" s="19" customForma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  <c r="Q63" s="2"/>
    </row>
    <row r="64" spans="1:17" s="19" customFormat="1" ht="10.95" customHeight="1" x14ac:dyDescent="0.3">
      <c r="A64" s="1"/>
      <c r="B64" s="1"/>
      <c r="C64" s="1"/>
      <c r="D64" s="1"/>
      <c r="E64" s="35">
        <v>21</v>
      </c>
      <c r="F64" s="35"/>
      <c r="G64" s="35"/>
      <c r="H64" s="35"/>
      <c r="I64" s="35"/>
      <c r="J64" s="35"/>
      <c r="K64" s="35"/>
      <c r="L64" s="35"/>
      <c r="M64" s="35"/>
      <c r="N64" s="1"/>
      <c r="O64" s="2"/>
      <c r="P64" s="2"/>
      <c r="Q64" s="2"/>
    </row>
    <row r="65" spans="1:17" s="19" customFormat="1" ht="12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  <c r="Q65" s="2"/>
    </row>
    <row r="66" spans="1:17" s="19" customForma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s="19" customFormat="1" x14ac:dyDescent="0.3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2"/>
      <c r="P67" s="2"/>
      <c r="Q67" s="2"/>
    </row>
    <row r="68" spans="1:17" s="19" customFormat="1" x14ac:dyDescent="0.3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2"/>
      <c r="P68" s="2"/>
      <c r="Q68" s="2"/>
    </row>
    <row r="69" spans="1:17" s="19" customFormat="1" x14ac:dyDescent="0.3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2"/>
      <c r="P69" s="2"/>
      <c r="Q69" s="2"/>
    </row>
  </sheetData>
  <mergeCells count="16">
    <mergeCell ref="H33:I33"/>
    <mergeCell ref="J33:K33"/>
    <mergeCell ref="L33:M33"/>
    <mergeCell ref="E64:M64"/>
    <mergeCell ref="B19:C21"/>
    <mergeCell ref="D19:D21"/>
    <mergeCell ref="E19:M19"/>
    <mergeCell ref="E20:G20"/>
    <mergeCell ref="H20:J20"/>
    <mergeCell ref="K20:M20"/>
    <mergeCell ref="B7:M7"/>
    <mergeCell ref="B10:M10"/>
    <mergeCell ref="B12:D13"/>
    <mergeCell ref="E12:G12"/>
    <mergeCell ref="H12:J12"/>
    <mergeCell ref="K12:M12"/>
  </mergeCells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21</vt:lpstr>
      <vt:lpstr>'21'!Área_de_impresión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Sota Leiva</dc:creator>
  <cp:lastModifiedBy>Esteban Sota Leiva</cp:lastModifiedBy>
  <dcterms:created xsi:type="dcterms:W3CDTF">2026-06-16T14:42:44Z</dcterms:created>
  <dcterms:modified xsi:type="dcterms:W3CDTF">2026-06-16T14:46:16Z</dcterms:modified>
</cp:coreProperties>
</file>