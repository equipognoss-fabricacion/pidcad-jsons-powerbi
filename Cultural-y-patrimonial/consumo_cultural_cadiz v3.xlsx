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Municipios (SIMA)" sheetId="2" state="visible" r:id="rId4"/>
    <sheet name="Resumen provincia" sheetId="3" state="visible" r:id="rId5"/>
    <sheet name="Consumo cultural" sheetId="4" state="visible" r:id="rId6"/>
    <sheet name="Turismo Cádiz (ECTA)" sheetId="5" state="visible" r:id="rId7"/>
    <sheet name="Notas y fu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<sst xmlns="http://schemas.openxmlformats.org/spreadsheetml/2006/main" count="355" uniqueCount="229">
  <si>
    <t xml:space="preserve">Consumo de bienes culturales y patrimoniales</t>
  </si>
  <si>
    <t xml:space="preserve">Provincia de Cádiz</t>
  </si>
  <si>
    <t xml:space="preserve">Contenido del libro</t>
  </si>
  <si>
    <t xml:space="preserve">• Municipios (SIMA-IECA)</t>
  </si>
  <si>
    <t xml:space="preserve">Equipamientos e indicadores culturales de los 45 municipios de la provincia (bibliotecas, cines, patrimonio, actividades artísticas).</t>
  </si>
  <si>
    <t xml:space="preserve">• Resumen provincia</t>
  </si>
  <si>
    <t xml:space="preserve">Totales agregados de la provincia de Cádiz, calculados por fórmula a partir de la hoja de municipios.</t>
  </si>
  <si>
    <t xml:space="preserve">• Consumo cultural (otras fuentes)</t>
  </si>
  <si>
    <t xml:space="preserve">Visitantes, gasto y asistencia a eventos concretos: Teatro Romano de Cádiz, Museo de Cádiz, Baelo Claudia, Festival de Jerez.</t>
  </si>
  <si>
    <t xml:space="preserve">• Notas y fuentes</t>
  </si>
  <si>
    <t xml:space="preserve">Metodología, fecha de extracción y enlaces a las fuentes originales.</t>
  </si>
  <si>
    <t xml:space="preserve">• Turismo Cádiz (ECTA)</t>
  </si>
  <si>
    <t xml:space="preserve">Serie temporal trimestral/anual de turistas, gasto medio diario y valoración de la experiencia en la provincia de Cádiz (IECA).</t>
  </si>
  <si>
    <t xml:space="preserve">Fecha de extracción de los datos: 24 de julio de 2026</t>
  </si>
  <si>
    <t xml:space="preserve">Indicadores culturales por municipio — Provincia de Cádiz</t>
  </si>
  <si>
    <t xml:space="preserve">Fuente: Sistema de Información Multiterritorial de Andalucía (SIMA), IECA — Junta de Andalucía</t>
  </si>
  <si>
    <t xml:space="preserve">Municipio</t>
  </si>
  <si>
    <t xml:space="preserve">Población
(2025)</t>
  </si>
  <si>
    <t xml:space="preserve">Bibliotecas
públicas (2024)</t>
  </si>
  <si>
    <t xml:space="preserve">Pantallas de
cine (2025)</t>
  </si>
  <si>
    <t xml:space="preserve">Altas activ.
artísticas (IAE, 2019)</t>
  </si>
  <si>
    <t xml:space="preserve">Bienes
inmuebles (2025)</t>
  </si>
  <si>
    <t xml:space="preserve">Bienes
muebles (2025)</t>
  </si>
  <si>
    <t xml:space="preserve">Bienes
inmateriales (2025)</t>
  </si>
  <si>
    <t xml:space="preserve">Jerez de la Frontera</t>
  </si>
  <si>
    <t xml:space="preserve">Algeciras</t>
  </si>
  <si>
    <t xml:space="preserve">Cádiz</t>
  </si>
  <si>
    <t xml:space="preserve">San Fernando</t>
  </si>
  <si>
    <t xml:space="preserve">Chiclana de la Frontera</t>
  </si>
  <si>
    <t xml:space="preserve">El Puerto de Santa María</t>
  </si>
  <si>
    <t xml:space="preserve">Sanlúcar de Barrameda</t>
  </si>
  <si>
    <t xml:space="preserve">La Línea de la Concepción</t>
  </si>
  <si>
    <t xml:space="preserve">Puerto Real</t>
  </si>
  <si>
    <t xml:space="preserve">San Roque</t>
  </si>
  <si>
    <t xml:space="preserve">Arcos de la Frontera</t>
  </si>
  <si>
    <t xml:space="preserve">Rota</t>
  </si>
  <si>
    <t xml:space="preserve">Los Barrios</t>
  </si>
  <si>
    <t xml:space="preserve">Conil de la Frontera</t>
  </si>
  <si>
    <t xml:space="preserve">Barbate</t>
  </si>
  <si>
    <t xml:space="preserve">Chipiona</t>
  </si>
  <si>
    <t xml:space="preserve">Tarifa</t>
  </si>
  <si>
    <t xml:space="preserve">Ubrique</t>
  </si>
  <si>
    <t xml:space="preserve">Vejer de la Frontera</t>
  </si>
  <si>
    <t xml:space="preserve">Villamartín</t>
  </si>
  <si>
    <t xml:space="preserve">Medina Sidonia</t>
  </si>
  <si>
    <t xml:space="preserve">Olvera</t>
  </si>
  <si>
    <t xml:space="preserve">Bornos</t>
  </si>
  <si>
    <t xml:space="preserve">Benalup-Casas Viejas</t>
  </si>
  <si>
    <t xml:space="preserve">Trebujena</t>
  </si>
  <si>
    <t xml:space="preserve">Puerto Serrano</t>
  </si>
  <si>
    <t xml:space="preserve">Jimena de la Frontera</t>
  </si>
  <si>
    <t xml:space="preserve">Prado del Rey</t>
  </si>
  <si>
    <t xml:space="preserve">Paterna de Rivera</t>
  </si>
  <si>
    <t xml:space="preserve">Algodonales</t>
  </si>
  <si>
    <t xml:space="preserve">Alcalá de los Gazules</t>
  </si>
  <si>
    <t xml:space="preserve">Alcalá del Valle</t>
  </si>
  <si>
    <t xml:space="preserve">San José del Valle</t>
  </si>
  <si>
    <t xml:space="preserve">Espera</t>
  </si>
  <si>
    <t xml:space="preserve">Castellar de la Frontera</t>
  </si>
  <si>
    <t xml:space="preserve">San Martín del Tesorillo</t>
  </si>
  <si>
    <t xml:space="preserve">Setenil de las Bodegas</t>
  </si>
  <si>
    <t xml:space="preserve">El Bosque</t>
  </si>
  <si>
    <t xml:space="preserve">Grazalema</t>
  </si>
  <si>
    <t xml:space="preserve">El Gastor</t>
  </si>
  <si>
    <t xml:space="preserve">Algar</t>
  </si>
  <si>
    <t xml:space="preserve">Zahara</t>
  </si>
  <si>
    <t xml:space="preserve">Torre Alháquime</t>
  </si>
  <si>
    <t xml:space="preserve">Benaocaz</t>
  </si>
  <si>
    <t xml:space="preserve">Villaluenga del Rosario</t>
  </si>
  <si>
    <t xml:space="preserve">TOTAL PROVINCIA</t>
  </si>
  <si>
    <t xml:space="preserve">Resumen agregado — Provincia de Cádiz</t>
  </si>
  <si>
    <t xml:space="preserve">Todos los valores se calculan por fórmula a partir de la hoja 'Municipios (SIMA)'</t>
  </si>
  <si>
    <t xml:space="preserve">Indicador</t>
  </si>
  <si>
    <t xml:space="preserve">Valor</t>
  </si>
  <si>
    <t xml:space="preserve">Comentario</t>
  </si>
  <si>
    <t xml:space="preserve">Número de municipios</t>
  </si>
  <si>
    <t xml:space="preserve">Total de municipios de la provincia</t>
  </si>
  <si>
    <t xml:space="preserve">Población total (2025)</t>
  </si>
  <si>
    <t xml:space="preserve">Suma de población de los 45 municipios</t>
  </si>
  <si>
    <t xml:space="preserve">Bibliotecas públicas (2024)</t>
  </si>
  <si>
    <t xml:space="preserve">Pantallas de cine (2025)</t>
  </si>
  <si>
    <t xml:space="preserve">Altas en actividades artísticas — IAE (2019)</t>
  </si>
  <si>
    <t xml:space="preserve">Impuesto de Actividades Económicas, epígrafes artísticos</t>
  </si>
  <si>
    <t xml:space="preserve">Bienes patrimoniales inmuebles (2025)</t>
  </si>
  <si>
    <t xml:space="preserve">Bienes patrimoniales muebles (2025)</t>
  </si>
  <si>
    <t xml:space="preserve">Bienes patrimoniales inmateriales (2025)</t>
  </si>
  <si>
    <t xml:space="preserve">Habitantes por biblioteca pública</t>
  </si>
  <si>
    <t xml:space="preserve">Población total / nº de bibliotecas</t>
  </si>
  <si>
    <t xml:space="preserve">Municipio con más bienes muebles</t>
  </si>
  <si>
    <t xml:space="preserve">Municipio líder en fondos museísticos/patrimoniales</t>
  </si>
  <si>
    <t xml:space="preserve">Municipio con más pantallas de cine</t>
  </si>
  <si>
    <t xml:space="preserve">Nota: SIMA/BADEA (IECA) recoge infraestructura y patrimonio, no datos de consumo (visitantes, gasto, asistencia). Esos datos están en la hoja 'Consumo cultural (otras fuentes)'.</t>
  </si>
  <si>
    <t xml:space="preserve">Datos de consumo cultural — provincia de Cádiz</t>
  </si>
  <si>
    <t xml:space="preserve">Estos datos NO proceden de SIMA/BADEA; cada bloque cita su fuente original</t>
  </si>
  <si>
    <t xml:space="preserve">Teatro Romano de Cádiz — visitantes por año</t>
  </si>
  <si>
    <t xml:space="preserve">Año</t>
  </si>
  <si>
    <t xml:space="preserve">Visitantes</t>
  </si>
  <si>
    <t xml:space="preserve">Variación</t>
  </si>
  <si>
    <t xml:space="preserve">Fuente</t>
  </si>
  <si>
    <t xml:space="preserve">-</t>
  </si>
  <si>
    <t xml:space="preserve">El Debate, dic. 2025</t>
  </si>
  <si>
    <t xml:space="preserve">Caída por pandemia</t>
  </si>
  <si>
    <t xml:space="preserve">El Debate, dic. 2025 / Junta de Andalucía</t>
  </si>
  <si>
    <t xml:space="preserve">+28,9% vs 2023</t>
  </si>
  <si>
    <t xml:space="preserve">Junta de Andalucía, ene. 2025</t>
  </si>
  <si>
    <t xml:space="preserve">+9,3% vs 2024</t>
  </si>
  <si>
    <t xml:space="preserve">Andalucía Información, ene. 2026</t>
  </si>
  <si>
    <t xml:space="preserve">Otros espacios/eventos culturales de la provincia (2024-2025)</t>
  </si>
  <si>
    <t xml:space="preserve">Espacio / evento</t>
  </si>
  <si>
    <t xml:space="preserve">Dato</t>
  </si>
  <si>
    <t xml:space="preserve">Museo de Cádiz — visitantes</t>
  </si>
  <si>
    <t xml:space="preserve">126.574 (+22,5% vs 2024)</t>
  </si>
  <si>
    <t xml:space="preserve">103.139 (+7,6% vs 2022)</t>
  </si>
  <si>
    <t xml:space="preserve">Onda Cádiz, ene. 2025</t>
  </si>
  <si>
    <t xml:space="preserve">Baelo Claudia (Tarifa) — visitantes</t>
  </si>
  <si>
    <t xml:space="preserve">116.533</t>
  </si>
  <si>
    <t xml:space="preserve">Festival de Jerez (flamenco) — espectadores</t>
  </si>
  <si>
    <t xml:space="preserve">20.100 (ocupación media 91%, 38 espectáculos)</t>
  </si>
  <si>
    <t xml:space="preserve">Ayto. de Jerez / Portal de Cádiz, mar. 2025</t>
  </si>
  <si>
    <t xml:space="preserve">Nota: no existe una encuesta oficial de gasto en cultura desagregada a nivel de provincia. La Encuesta de Hábitos y Prácticas Culturales en España (Ministerio de Cultura + INE), última edición 2024-2025, solo desagrega hasta el nivel de comunidad autónoma (Andalucía).</t>
  </si>
  <si>
    <t xml:space="preserve">Serie temporal — Turismo en la provincia de Cádiz (2020-2026)</t>
  </si>
  <si>
    <t xml:space="preserve">Fuente: Encuesta de Coyuntura Turística de Andalucía (ECTA), IECA — Junta de Andalucía. Datos generales de turismo (no específicos de bienes culturales); se usan como mejor proxy disponible de gasto y valoración a nivel provincial. 'n.d.' = dato no publicado para Cádiz en esa nota concreta.</t>
  </si>
  <si>
    <t xml:space="preserve">Periodo</t>
  </si>
  <si>
    <t xml:space="preserve">Tipo</t>
  </si>
  <si>
    <t xml:space="preserve">Turistas Cádiz
(nº)</t>
  </si>
  <si>
    <t xml:space="preserve">Cuota Cádiz
(% s/ Andalucía)</t>
  </si>
  <si>
    <t xml:space="preserve">Var. turistas
interanual</t>
  </si>
  <si>
    <t xml:space="preserve">Gasto medio
diario (€)</t>
  </si>
  <si>
    <t xml:space="preserve">Var. gasto
interanual</t>
  </si>
  <si>
    <t xml:space="preserve">Valoración
(sobre 10)</t>
  </si>
  <si>
    <t xml:space="preserve">Fuente / nota</t>
  </si>
  <si>
    <t xml:space="preserve">T3 2020</t>
  </si>
  <si>
    <t xml:space="preserve">Trimestral</t>
  </si>
  <si>
    <t xml:space="preserve">n.d.</t>
  </si>
  <si>
    <t xml:space="preserve">IECA/blog ECTA. Turismo andaluz -47,5% interanual por la COVID-19; sin desglose de Cádiz en la nota consultada</t>
  </si>
  <si>
    <t xml:space="preserve">Año 2020</t>
  </si>
  <si>
    <t xml:space="preserve">Anual</t>
  </si>
  <si>
    <t xml:space="preserve">Ejercicio marcado por la pandemia; no se ha localizado desglose provincial de Cádiz</t>
  </si>
  <si>
    <t xml:space="preserve">Año 2021</t>
  </si>
  <si>
    <t xml:space="preserve">Andalucía recibió ~20,07 millones de turistas en el año (Statista/IECA); sin desglose de Cádiz</t>
  </si>
  <si>
    <t xml:space="preserve">T3 2021</t>
  </si>
  <si>
    <t xml:space="preserve">IECA, blog ECTA T3-2021 (valoración Andalucía 8,3; Cádiz no desglosada)</t>
  </si>
  <si>
    <t xml:space="preserve">Año 2022</t>
  </si>
  <si>
    <t xml:space="preserve">Andalucía: 30,8 millones de turistas (+53,7%); gasto medio turista nacional 66,54€ (+1,10€ vs 2021)</t>
  </si>
  <si>
    <t xml:space="preserve">T2 2023</t>
  </si>
  <si>
    <t xml:space="preserve">IECA, nota divulgativa T2-2023 (Sevilla 9.1, Córdoba 8.8, Cádiz 8.6)</t>
  </si>
  <si>
    <t xml:space="preserve">T3 2023</t>
  </si>
  <si>
    <t xml:space="preserve">IECA, nota divulgativa T3-2023 (Cádiz por debajo de Málaga 9.2/Huelva 9.0/Sevilla 8.9/Córdoba 8.9)</t>
  </si>
  <si>
    <t xml:space="preserve">Año 2023</t>
  </si>
  <si>
    <t xml:space="preserve">IECA, nota divulgativa T4-2023 / año 2023 (gasto medio Andalucía 77,83€ anual)</t>
  </si>
  <si>
    <t xml:space="preserve">T3 2024</t>
  </si>
  <si>
    <t xml:space="preserve">IECA, nota divulgativa T3-2024 (Cádiz empatada con Córdoba y Jaén)</t>
  </si>
  <si>
    <t xml:space="preserve">T4 2024</t>
  </si>
  <si>
    <t xml:space="preserve">IECA, nota divulgativa T4-2024 (empatada con Sevilla y Córdoba)</t>
  </si>
  <si>
    <t xml:space="preserve">Año 2024</t>
  </si>
  <si>
    <t xml:space="preserve">IECA, nota divulgativa T4-2024 / año 2024 (36 millones de turistas en Andalucía)</t>
  </si>
  <si>
    <t xml:space="preserve">T1 2025</t>
  </si>
  <si>
    <t xml:space="preserve">IECA, nota divulgativa T1-2025 (Cádiz no entre las 3 provincias más valoradas: Málaga 9.3, Jaén/Sevilla 9.2)</t>
  </si>
  <si>
    <t xml:space="preserve">T2 2025</t>
  </si>
  <si>
    <t xml:space="preserve">IECA, nota divulgativa T2-2025</t>
  </si>
  <si>
    <t xml:space="preserve">T3 2025</t>
  </si>
  <si>
    <t xml:space="preserve">IECA, nota divulgativa T3-2025 (Cádiz no entre las 3 más valoradas: Jaén 9.4, Sevilla 9.2, Córdoba 9.2)</t>
  </si>
  <si>
    <t xml:space="preserve">T4 2025</t>
  </si>
  <si>
    <t xml:space="preserve">IECA, nota divulgativa T4-2025</t>
  </si>
  <si>
    <t xml:space="preserve">Año 2025</t>
  </si>
  <si>
    <t xml:space="preserve">IECA, nota divulgativa T4-2025 / año 2025 (37,9 millones de turistas en Andalucía)</t>
  </si>
  <si>
    <t xml:space="preserve">T1 2026</t>
  </si>
  <si>
    <t xml:space="preserve">IECA vía El Conciso, 11-05-2026</t>
  </si>
  <si>
    <t xml:space="preserve">Notas: 'n.d.' = dato no publicado o no desglosado para Cádiz en la nota divulgativa consultada. Para 2020-2022 el IECA solo publicó de forma sistemática cifras a nivel de Andalucía en las fuentes consultadas; el desglose provincial completo (turistas, gasto y valoración) solo aparece de forma regular a partir de 2023-2024. La valoración es la nota media (0-10) otorgada por los turistas a su estancia.</t>
  </si>
  <si>
    <t xml:space="preserve">Contexto — Andalucía (serie anual, mejor cobertura que el desglose provincial)</t>
  </si>
  <si>
    <t xml:space="preserve">Turistas Andalucía
(millones)</t>
  </si>
  <si>
    <t xml:space="preserve">Var. interanual</t>
  </si>
  <si>
    <t xml:space="preserve">% turistas
extranjeros</t>
  </si>
  <si>
    <t xml:space="preserve">Fuentes: IECA (ECTA), notas divulgativas trimestrales/anuales 2023-2026; Statista/IECA para 2021; Adeitur/AECR para el impacto COVID en 2020. Serie de valoración anual de Andalucía no siempre publicada de forma independiente (se deriva de la media de valoraciones trimestrales cuando existe).</t>
  </si>
  <si>
    <t xml:space="preserve">Contexto demográfico (solo disponible a nivel Andalucía, no por provincia)</t>
  </si>
  <si>
    <t xml:space="preserve">• T3 2019: 33,0% andaluces / 30,8% resto de España / 26,7% UE / 9,5% resto del mundo</t>
  </si>
  <si>
    <t xml:space="preserve">• T3 2020 (COVID): 45,3% andaluces / 42,0% resto de España / 10,5% UE / 2,2% resto del mundo (fuerte caída del turismo internacional)</t>
  </si>
  <si>
    <t xml:space="preserve">• T3 2021: 41,1% andaluces / 40,5% resto de España / 14,3% UE / 4,1% resto del mundo</t>
  </si>
  <si>
    <t xml:space="preserve">• Año 2022: 69,0% España / 31,0% extranjero</t>
  </si>
  <si>
    <t xml:space="preserve">• Año 2023: 65,7% España / entre 20,8% y 34,3% extranjero según trimestre</t>
  </si>
  <si>
    <t xml:space="preserve">• Año 2024: 32,7% andaluces / 31,1% resto de España / 26,5% UE / 9,7% resto del mundo</t>
  </si>
  <si>
    <t xml:space="preserve">• Año 2025: 30,3% andaluces / 33,1% resto de España / 26,3% UE / 10,3% resto del mundo</t>
  </si>
  <si>
    <t xml:space="preserve">• T1 2026: grupo de edad 45-65 años = 36,3% de los turistas (único dato de edad localizado)</t>
  </si>
  <si>
    <t xml:space="preserve">Notas metodológicas y fuentes</t>
  </si>
  <si>
    <t xml:space="preserve">1. Fuente principal (hojas 'Municipios' y 'Resumen provincia'):</t>
  </si>
  <si>
    <t xml:space="preserve">   Sistema de Información Multiterritorial de Andalucía (SIMA), Instituto de Estadística y Cartografía</t>
  </si>
  <si>
    <t xml:space="preserve">   de Andalucía (IECA), Junta de Andalucía. Fichero de datos descargado el 23/07/2026 desde:</t>
  </si>
  <si>
    <t xml:space="preserve">   https://www.juntadeandalucia.es/institutodeestadisticaycartografia/sima/datos/smex99.xls</t>
  </si>
  <si>
    <t xml:space="preserve">2. Alcance de SIMA/BADEA: es un banco de indicadores de equipamiento e infraestructura</t>
  </si>
  <si>
    <t xml:space="preserve">   (bibliotecas, cines, bienes patrimoniales, altas en el IAE por actividad artística), no un</t>
  </si>
  <si>
    <t xml:space="preserve">   registro de consumo cultural. No incluye visitantes a museos/monumentos, gasto en cultura</t>
  </si>
  <si>
    <t xml:space="preserve">   ni asistencia a espectáculos o conciertos.</t>
  </si>
  <si>
    <t xml:space="preserve">3. Fuentes de la hoja 'Consumo cultural (otras fuentes)':</t>
  </si>
  <si>
    <t xml:space="preserve">   - Balances anuales de la Consejería de Cultura y Deporte de la Junta de Andalucía</t>
  </si>
  <si>
    <t xml:space="preserve">     (juntadeandalucia.es/organismos/culturaydeporte)</t>
  </si>
  <si>
    <t xml:space="preserve">   - El Debate, 'La Junta impulsa con 2,8 millones la rehabilitación del Teatro Romano de Cádiz...' (dic. 2025)</t>
  </si>
  <si>
    <t xml:space="preserve">   - Andalucía Información, 'Récord cultural en Andalucía: casi ocho millones de visitas en 2025' (ene. 2026)</t>
  </si>
  <si>
    <t xml:space="preserve">   - Onda Cádiz RTV, 'El Teatro Romano cierra el 2024 con más de 210.000 visitas...' (ene. 2025)</t>
  </si>
  <si>
    <t xml:space="preserve">   - Ayuntamiento de Jerez / Portal de Cádiz, balance del XXIX Festival de Jerez (mar. 2025)</t>
  </si>
  <si>
    <t xml:space="preserve">4. Para series de gasto/hábitos culturales, consultar la Encuesta de Hábitos y Prácticas</t>
  </si>
  <si>
    <t xml:space="preserve">   Culturales en España (Ministerio de Cultura + INE), disponible por comunidad autónoma en:</t>
  </si>
  <si>
    <t xml:space="preserve">   https://www.cultura.gob.es/servicios-a-la-ciudadania/estadisticas/cultura/mc/culturabase/</t>
  </si>
  <si>
    <t xml:space="preserve">   encuesta-de-habitos/resultados-habitos.html</t>
  </si>
  <si>
    <t xml:space="preserve">5. Todas las cifras de la hoja 'Resumen provincia' se recalculan automáticamente si se editan</t>
  </si>
  <si>
    <t xml:space="preserve">   los datos de la hoja 'Municipios (SIMA)'.</t>
  </si>
  <si>
    <t xml:space="preserve">6. Fuente de la hoja 'Turismo Cádiz (ECTA)':</t>
  </si>
  <si>
    <t xml:space="preserve">   Encuesta de Coyuntura Turística de Andalucía (ECTA), Instituto de Estadística y Cartografía de</t>
  </si>
  <si>
    <t xml:space="preserve">   Andalucía (IECA). Notas divulgativas trimestrales/anuales 2024-2026, consultadas en:</t>
  </si>
  <si>
    <t xml:space="preserve">   juntadeandalucia.es/institutodeestadisticaycartografia/dega/encuesta-de-coyuntura-turistica-de-andalucia-ecta</t>
  </si>
  <si>
    <t xml:space="preserve">   y prensa económica (El Conciso, 11/05/2026) para el dato de gasto medio de Cádiz en T1 2026.</t>
  </si>
  <si>
    <t xml:space="preserve">7. Importante: la ECTA mide turismo general (todos los motivos de viaje), no gasto o valoración</t>
  </si>
  <si>
    <t xml:space="preserve">   específicos de bienes culturales/patrimoniales. Se incluye como mejor proxy provincial disponible,</t>
  </si>
  <si>
    <t xml:space="preserve">   ya que no existe una estadística oficial de gasto/valoración específica de la actividad cultural</t>
  </si>
  <si>
    <t xml:space="preserve">   desagregada para la provincia de Cádiz.</t>
  </si>
  <si>
    <t xml:space="preserve">8. Las notas divulgativas de la ECTA no siempre publican el desglose completo (turistas, cuota,</t>
  </si>
  <si>
    <t xml:space="preserve">   gasto, valoración) para todas las provincias en cada trimestre; los huecos marcados 'n.d.' en la</t>
  </si>
  <si>
    <t xml:space="preserve">   serie temporal corresponden a datos no publicados para Cádiz en esa nota concreta, no a ausencia</t>
  </si>
  <si>
    <t xml:space="preserve">   real de turismo.</t>
  </si>
  <si>
    <t xml:space="preserve">9. Ampliación 2020-2026 (hoja 'Turismo Cádiz (ECTA)'):</t>
  </si>
  <si>
    <t xml:space="preserve">   Se han incorporado notas divulgativas trimestrales/anuales del IECA desde 2020 hasta 2026, más una</t>
  </si>
  <si>
    <t xml:space="preserve">   tabla de contexto anual para Andalucía (mejor cobertura temporal que el desglose por provincia) y</t>
  </si>
  <si>
    <t xml:space="preserve">   un bloque de contexto demográfico (procedencia por gran área geográfica; el único dato de edad</t>
  </si>
  <si>
    <t xml:space="preserve">   localizado, para el conjunto de Andalucía, es del T1 2026: 45-65 años = 36,3% de los turistas).</t>
  </si>
  <si>
    <t xml:space="preserve">   Fuentes adicionales: blog IECA (ws089.juntadeandalucia.es/.../blog/2021/11/ecta-0321/), Statista/IECA</t>
  </si>
  <si>
    <t xml:space="preserve">   (turistas anuales Andalucía), Adeitur y AECR (impacto COVID-19 en el turismo andaluz, 2020).</t>
  </si>
  <si>
    <t xml:space="preserve">10. Limitación importante: no existe, en ninguna de las fuentes consultadas, una serie de gasto medio,</t>
  </si>
  <si>
    <t xml:space="preserve">    valoración o perfil demográfico (edad/sexo/país) específica de los visitantes de bienes culturales</t>
  </si>
  <si>
    <t xml:space="preserve">    y patrimoniales de Cádiz. Las series de turismo general (ECTA) son la mejor aproximación pública</t>
  </si>
  <si>
    <t xml:space="preserve">    disponible, pero mezclan todos los motivos de viaje (sol y playa, negocios, visita a familiares, etc.).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</si>
</sst>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\+0.0%;\-0.0%"/>
    <numFmt numFmtId="168" formatCode="0.0%"/>
    <numFmt numFmtId="169" formatCode="#,##0.00&quot; €&quot;"/>
    <numFmt numFmtId="170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Valoración media del viaje — Cádiz (sobre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'Turismo Cádiz (ECTA)'!H4</c:f>
              <c:strCache>
                <c:ptCount val="1"/>
                <c:pt idx="0">
                  <c:v>Valoración
(sobre 10)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'Turismo Cádiz (ECTA)'!$A$5:$A$21</c:f>
              <c:strCache>
                <c:ptCount val="17"/>
                <c:pt idx="0">
                  <c:v>T3 2020</c:v>
                </c:pt>
                <c:pt idx="1">
                  <c:v>Año 2020</c:v>
                </c:pt>
                <c:pt idx="2">
                  <c:v>Año 2021</c:v>
                </c:pt>
                <c:pt idx="3">
                  <c:v>T3 2021</c:v>
                </c:pt>
                <c:pt idx="4">
                  <c:v>Año 2022</c:v>
                </c:pt>
                <c:pt idx="5">
                  <c:v>T2 2023</c:v>
                </c:pt>
                <c:pt idx="6">
                  <c:v>T3 2023</c:v>
                </c:pt>
                <c:pt idx="7">
                  <c:v>Año 2023</c:v>
                </c:pt>
                <c:pt idx="8">
                  <c:v>T3 2024</c:v>
                </c:pt>
                <c:pt idx="9">
                  <c:v>T4 2024</c:v>
                </c:pt>
                <c:pt idx="10">
                  <c:v>Año 2024</c:v>
                </c:pt>
                <c:pt idx="11">
                  <c:v>T1 2025</c:v>
                </c:pt>
                <c:pt idx="12">
                  <c:v>T2 2025</c:v>
                </c:pt>
                <c:pt idx="13">
                  <c:v>T3 2025</c:v>
                </c:pt>
                <c:pt idx="14">
                  <c:v>T4 2025</c:v>
                </c:pt>
                <c:pt idx="15">
                  <c:v>Año 2025</c:v>
                </c:pt>
                <c:pt idx="16">
                  <c:v>T1 2026</c:v>
                </c:pt>
              </c:strCache>
            </c:strRef>
          </c:cat>
          <c:val>
            <c:numRef>
              <c:f>'Turismo Cádiz (ECTA)'!$H$5:$H$21</c:f>
              <c:numCache>
                <c:formatCode>General</c:formatCode>
                <c:ptCount val="17"/>
                <c:pt idx="5">
                  <c:v>8.6</c:v>
                </c:pt>
                <c:pt idx="8">
                  <c:v>9.2</c:v>
                </c:pt>
                <c:pt idx="9">
                  <c:v>9.2</c:v>
                </c:pt>
                <c:pt idx="10">
                  <c:v>9.2</c:v>
                </c:pt>
                <c:pt idx="12">
                  <c:v>9.1</c:v>
                </c:pt>
                <c:pt idx="14">
                  <c:v>9.3</c:v>
                </c:pt>
                <c:pt idx="15">
                  <c:v>9.2</c:v>
                </c:pt>
                <c:pt idx="16">
                  <c:v>9.4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707890"/>
        <c:axId val="37758162"/>
      </c:lineChart>
      <c:catAx>
        <c:axId val="94707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58162"/>
        <c:crosses val="autoZero"/>
        <c:auto val="1"/>
        <c:lblAlgn val="ctr"/>
        <c:lblOffset val="100"/>
        <c:noMultiLvlLbl val="0"/>
      </c:catAx>
      <c:valAx>
        <c:axId val="377581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Valoración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07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Turistas en Andalucía por año (millones) — contexto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'Turismo Cádiz (ECTA)'!B26</c:f>
              <c:strCache>
                <c:ptCount val="1"/>
                <c:pt idx="0">
                  <c:v>Turistas Andalucía
(millones)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'Turismo Cádiz (ECTA)'!$A$27:$A$33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'Turismo Cádiz (ECTA)'!$B$27:$B$33</c:f>
              <c:numCache>
                <c:formatCode>#,##0.00</c:formatCode>
                <c:ptCount val="7"/>
                <c:pt idx="0">
                  <c:v>32.5</c:v>
                </c:pt>
                <c:pt idx="2">
                  <c:v>20.07</c:v>
                </c:pt>
                <c:pt idx="3">
                  <c:v>30.8</c:v>
                </c:pt>
                <c:pt idx="4">
                  <c:v>34.21</c:v>
                </c:pt>
                <c:pt idx="5">
                  <c:v>36</c:v>
                </c:pt>
                <c:pt idx="6">
                  <c:v>37.9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042127"/>
        <c:axId val="38245683"/>
      </c:lineChart>
      <c:catAx>
        <c:axId val="76042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45683"/>
        <c:crosses val="autoZero"/>
        <c:auto val="1"/>
        <c:lblAlgn val="ctr"/>
        <c:lblOffset val="100"/>
        <c:noMultiLvlLbl val="0"/>
      </c:catAx>
      <c:valAx>
        <c:axId val="382456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Millones de turistas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42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46</xdr:row>
      <xdr:rowOff>160560</xdr:rowOff>
    </xdr:from>
    <xdr:to>
      <xdr:col>7</xdr:col>
      <xdr:colOff>644400</xdr:colOff>
      <xdr:row>61</xdr:row>
      <xdr:rowOff>182880</xdr:rowOff>
    </xdr:to>
    <xdr:graphicFrame>
      <xdr:nvGraphicFramePr>
        <xdr:cNvPr id="0" name="Chart 1"/>
        <xdr:cNvGraphicFramePr/>
      </xdr:nvGraphicFramePr>
      <xdr:xfrm>
        <a:off x="0" y="101631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46</xdr:row>
      <xdr:rowOff>160560</xdr:rowOff>
    </xdr:from>
    <xdr:to>
      <xdr:col>9</xdr:col>
      <xdr:colOff>10080</xdr:colOff>
      <xdr:row>61</xdr:row>
      <xdr:rowOff>182880</xdr:rowOff>
    </xdr:to>
    <xdr:graphicFrame>
      <xdr:nvGraphicFramePr>
        <xdr:cNvPr id="1" name="Chart 2"/>
        <xdr:cNvGraphicFramePr/>
      </xdr:nvGraphicFramePr>
      <xdr:xfrm>
        <a:off x="4581360" y="101631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3" min="3" style="1" width="40"/>
  </cols>
  <sheetData>
    <row r="2" customFormat="false" ht="19.5" hidden="false" customHeight="true" outlineLevel="0" collapsed="false">
      <c r="B2" s="2" t="s">
        <v>0</v>
      </c>
    </row>
    <row r="3" customFormat="false" ht="15.7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  <c r="C7" s="6"/>
      <c r="D7" s="6"/>
      <c r="E7" s="6"/>
      <c r="F7" s="6"/>
    </row>
    <row r="9" customFormat="false" ht="15" hidden="false" customHeight="true" outlineLevel="0" collapsed="false">
      <c r="B9" s="5" t="s">
        <v>5</v>
      </c>
    </row>
    <row r="10" customFormat="false" ht="15" hidden="false" customHeight="true" outlineLevel="0" collapsed="false">
      <c r="B10" s="6" t="s">
        <v>6</v>
      </c>
      <c r="C10" s="6"/>
      <c r="D10" s="6"/>
      <c r="E10" s="6"/>
      <c r="F10" s="6"/>
    </row>
    <row r="12" customFormat="false" ht="15" hidden="false" customHeight="true" outlineLevel="0" collapsed="false">
      <c r="B12" s="5" t="s">
        <v>7</v>
      </c>
    </row>
    <row r="13" customFormat="false" ht="15" hidden="false" customHeight="true" outlineLevel="0" collapsed="false">
      <c r="B13" s="6" t="s">
        <v>8</v>
      </c>
      <c r="C13" s="6"/>
      <c r="D13" s="6"/>
      <c r="E13" s="6"/>
      <c r="F13" s="6"/>
    </row>
    <row r="15" customFormat="false" ht="15" hidden="false" customHeight="true" outlineLevel="0" collapsed="false">
      <c r="B15" s="5" t="s">
        <v>9</v>
      </c>
    </row>
    <row r="16" customFormat="false" ht="15" hidden="false" customHeight="true" outlineLevel="0" collapsed="false">
      <c r="B16" s="6" t="s">
        <v>10</v>
      </c>
      <c r="C16" s="6"/>
      <c r="D16" s="6"/>
      <c r="E16" s="6"/>
      <c r="F16" s="6"/>
    </row>
    <row r="19" customFormat="false" ht="15" hidden="false" customHeight="true" outlineLevel="0" collapsed="false">
      <c r="B19" s="7" t="s">
        <v>11</v>
      </c>
    </row>
    <row r="20" customFormat="false" ht="15" hidden="false" customHeight="false" outlineLevel="0" collapsed="false">
      <c r="B20" s="8" t="s">
        <v>12</v>
      </c>
      <c r="C20" s="8"/>
      <c r="D20" s="8"/>
      <c r="E20" s="8"/>
      <c r="F20" s="8"/>
    </row>
    <row r="22" customFormat="false" ht="15" hidden="false" customHeight="false" outlineLevel="0" collapsed="false">
      <c r="B22" s="9" t="s">
        <v>13</v>
      </c>
    </row>
  </sheetData>
  <mergeCells count="5">
    <mergeCell ref="B7:F7"/>
    <mergeCell ref="B10:F10"/>
    <mergeCell ref="B13:F13"/>
    <mergeCell ref="B16:F16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5"/>
  </cols>
  <sheetData>
    <row r="1" customFormat="false" ht="17.25" hidden="false" customHeight="true" outlineLevel="0" collapsed="false">
      <c r="A1" s="10" t="s">
        <v>14</v>
      </c>
      <c r="B1" s="10"/>
      <c r="C1" s="10"/>
      <c r="D1" s="10"/>
      <c r="E1" s="10"/>
      <c r="F1" s="10"/>
      <c r="G1" s="10"/>
      <c r="H1" s="10"/>
    </row>
    <row r="2" customFormat="false" ht="15" hidden="false" customHeight="true" outlineLevel="0" collapsed="false">
      <c r="A2" s="6" t="s">
        <v>15</v>
      </c>
      <c r="B2" s="6"/>
      <c r="C2" s="6"/>
      <c r="D2" s="6"/>
      <c r="E2" s="6"/>
      <c r="F2" s="6"/>
      <c r="G2" s="6"/>
      <c r="H2" s="6"/>
    </row>
    <row r="4" customFormat="false" ht="31.5" hidden="false" customHeight="true" outlineLevel="0" collapsed="false">
      <c r="A4" s="11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</row>
    <row r="5" customFormat="false" ht="15" hidden="false" customHeight="true" outlineLevel="0" collapsed="false">
      <c r="A5" s="12" t="s">
        <v>24</v>
      </c>
      <c r="B5" s="13" t="n">
        <v>215025</v>
      </c>
      <c r="C5" s="13" t="n">
        <v>7</v>
      </c>
      <c r="D5" s="13" t="n">
        <v>21</v>
      </c>
      <c r="E5" s="13" t="n">
        <v>127</v>
      </c>
      <c r="F5" s="13" t="n">
        <v>466</v>
      </c>
      <c r="G5" s="13" t="n">
        <v>382</v>
      </c>
      <c r="H5" s="13" t="n">
        <v>44</v>
      </c>
    </row>
    <row r="6" customFormat="false" ht="15" hidden="false" customHeight="true" outlineLevel="0" collapsed="false">
      <c r="A6" s="14" t="s">
        <v>25</v>
      </c>
      <c r="B6" s="15" t="n">
        <v>126500</v>
      </c>
      <c r="C6" s="15" t="n">
        <v>1</v>
      </c>
      <c r="D6" s="15" t="n">
        <v>10</v>
      </c>
      <c r="E6" s="15" t="n">
        <v>55</v>
      </c>
      <c r="F6" s="15" t="n">
        <v>86</v>
      </c>
      <c r="G6" s="15" t="n">
        <v>81</v>
      </c>
      <c r="H6" s="15" t="n">
        <v>1</v>
      </c>
    </row>
    <row r="7" customFormat="false" ht="15" hidden="false" customHeight="true" outlineLevel="0" collapsed="false">
      <c r="A7" s="12" t="s">
        <v>26</v>
      </c>
      <c r="B7" s="13" t="n">
        <v>110123</v>
      </c>
      <c r="C7" s="13" t="n">
        <v>5</v>
      </c>
      <c r="D7" s="13" t="n">
        <v>19</v>
      </c>
      <c r="E7" s="13" t="n">
        <v>129</v>
      </c>
      <c r="F7" s="13" t="n">
        <v>385</v>
      </c>
      <c r="G7" s="13" t="n">
        <v>5307</v>
      </c>
      <c r="H7" s="13" t="n">
        <v>14</v>
      </c>
    </row>
    <row r="8" customFormat="false" ht="15" hidden="false" customHeight="true" outlineLevel="0" collapsed="false">
      <c r="A8" s="14" t="s">
        <v>27</v>
      </c>
      <c r="B8" s="15" t="n">
        <v>93490</v>
      </c>
      <c r="C8" s="15" t="n">
        <v>2</v>
      </c>
      <c r="D8" s="15" t="n">
        <v>12</v>
      </c>
      <c r="E8" s="15" t="n">
        <v>54</v>
      </c>
      <c r="F8" s="15" t="n">
        <v>114</v>
      </c>
      <c r="G8" s="15" t="n">
        <v>612</v>
      </c>
      <c r="H8" s="15" t="n">
        <v>6</v>
      </c>
    </row>
    <row r="9" customFormat="false" ht="15" hidden="false" customHeight="true" outlineLevel="0" collapsed="false">
      <c r="A9" s="12" t="s">
        <v>28</v>
      </c>
      <c r="B9" s="13" t="n">
        <v>90997</v>
      </c>
      <c r="C9" s="13" t="n">
        <v>1</v>
      </c>
      <c r="D9" s="13" t="n">
        <v>10</v>
      </c>
      <c r="E9" s="13" t="n">
        <v>78</v>
      </c>
      <c r="F9" s="13" t="n">
        <v>72</v>
      </c>
      <c r="G9" s="13" t="n">
        <v>247</v>
      </c>
      <c r="H9" s="13" t="n">
        <v>2</v>
      </c>
    </row>
    <row r="10" customFormat="false" ht="15" hidden="false" customHeight="true" outlineLevel="0" collapsed="false">
      <c r="A10" s="14" t="s">
        <v>29</v>
      </c>
      <c r="B10" s="15" t="n">
        <v>90242</v>
      </c>
      <c r="C10" s="15" t="n">
        <v>2</v>
      </c>
      <c r="D10" s="15" t="n">
        <v>14</v>
      </c>
      <c r="E10" s="15" t="n">
        <v>62</v>
      </c>
      <c r="F10" s="15" t="n">
        <v>187</v>
      </c>
      <c r="G10" s="15" t="n">
        <v>776</v>
      </c>
      <c r="H10" s="15" t="n">
        <v>4</v>
      </c>
    </row>
    <row r="11" customFormat="false" ht="15" hidden="false" customHeight="true" outlineLevel="0" collapsed="false">
      <c r="A11" s="12" t="s">
        <v>30</v>
      </c>
      <c r="B11" s="13" t="n">
        <v>69952</v>
      </c>
      <c r="C11" s="13" t="n">
        <v>1</v>
      </c>
      <c r="D11" s="13" t="n">
        <v>6</v>
      </c>
      <c r="E11" s="13" t="n">
        <v>37</v>
      </c>
      <c r="F11" s="13" t="n">
        <v>110</v>
      </c>
      <c r="G11" s="13" t="n">
        <v>1583</v>
      </c>
      <c r="H11" s="13" t="n">
        <v>13</v>
      </c>
    </row>
    <row r="12" customFormat="false" ht="15" hidden="false" customHeight="true" outlineLevel="0" collapsed="false">
      <c r="A12" s="14" t="s">
        <v>31</v>
      </c>
      <c r="B12" s="15" t="n">
        <v>65420</v>
      </c>
      <c r="C12" s="15" t="n">
        <v>1</v>
      </c>
      <c r="D12" s="15" t="n">
        <v>0</v>
      </c>
      <c r="E12" s="15" t="n">
        <v>9</v>
      </c>
      <c r="F12" s="15" t="n">
        <v>28</v>
      </c>
      <c r="G12" s="15" t="n">
        <v>0</v>
      </c>
      <c r="H12" s="15" t="n">
        <v>0</v>
      </c>
    </row>
    <row r="13" customFormat="false" ht="15" hidden="false" customHeight="true" outlineLevel="0" collapsed="false">
      <c r="A13" s="12" t="s">
        <v>32</v>
      </c>
      <c r="B13" s="13" t="n">
        <v>42472</v>
      </c>
      <c r="C13" s="13" t="n">
        <v>1</v>
      </c>
      <c r="D13" s="13" t="n">
        <v>0</v>
      </c>
      <c r="E13" s="13" t="n">
        <v>24</v>
      </c>
      <c r="F13" s="13" t="n">
        <v>109</v>
      </c>
      <c r="G13" s="13" t="n">
        <v>2188</v>
      </c>
      <c r="H13" s="13" t="n">
        <v>2</v>
      </c>
    </row>
    <row r="14" customFormat="false" ht="15" hidden="false" customHeight="true" outlineLevel="0" collapsed="false">
      <c r="A14" s="14" t="s">
        <v>33</v>
      </c>
      <c r="B14" s="15" t="n">
        <v>34873</v>
      </c>
      <c r="C14" s="15" t="n">
        <v>5</v>
      </c>
      <c r="D14" s="15" t="n">
        <v>0</v>
      </c>
      <c r="E14" s="15" t="n">
        <v>50</v>
      </c>
      <c r="F14" s="15" t="n">
        <v>83</v>
      </c>
      <c r="G14" s="15" t="n">
        <v>143</v>
      </c>
      <c r="H14" s="15" t="n">
        <v>1</v>
      </c>
    </row>
    <row r="15" customFormat="false" ht="15" hidden="false" customHeight="true" outlineLevel="0" collapsed="false">
      <c r="A15" s="12" t="s">
        <v>34</v>
      </c>
      <c r="B15" s="13" t="n">
        <v>31281</v>
      </c>
      <c r="C15" s="13" t="n">
        <v>2</v>
      </c>
      <c r="D15" s="13" t="n">
        <v>6</v>
      </c>
      <c r="E15" s="13" t="n">
        <v>13</v>
      </c>
      <c r="F15" s="13" t="n">
        <v>220</v>
      </c>
      <c r="G15" s="13" t="n">
        <v>1197</v>
      </c>
      <c r="H15" s="13" t="n">
        <v>11</v>
      </c>
    </row>
    <row r="16" customFormat="false" ht="15" hidden="false" customHeight="true" outlineLevel="0" collapsed="false">
      <c r="A16" s="14" t="s">
        <v>35</v>
      </c>
      <c r="B16" s="15" t="n">
        <v>29620</v>
      </c>
      <c r="C16" s="15" t="n">
        <v>2</v>
      </c>
      <c r="D16" s="15" t="n">
        <v>0</v>
      </c>
      <c r="E16" s="15" t="n">
        <v>30</v>
      </c>
      <c r="F16" s="15" t="n">
        <v>34</v>
      </c>
      <c r="G16" s="15" t="n">
        <v>38</v>
      </c>
      <c r="H16" s="15" t="n">
        <v>1</v>
      </c>
    </row>
    <row r="17" customFormat="false" ht="15" hidden="false" customHeight="true" outlineLevel="0" collapsed="false">
      <c r="A17" s="12" t="s">
        <v>36</v>
      </c>
      <c r="B17" s="13" t="n">
        <v>24588</v>
      </c>
      <c r="C17" s="13" t="n">
        <v>1</v>
      </c>
      <c r="D17" s="13" t="n">
        <v>18</v>
      </c>
      <c r="E17" s="13" t="n">
        <v>10</v>
      </c>
      <c r="F17" s="13" t="n">
        <v>109</v>
      </c>
      <c r="G17" s="13" t="n">
        <v>0</v>
      </c>
      <c r="H17" s="13" t="n">
        <v>1</v>
      </c>
    </row>
    <row r="18" customFormat="false" ht="15" hidden="false" customHeight="true" outlineLevel="0" collapsed="false">
      <c r="A18" s="14" t="s">
        <v>37</v>
      </c>
      <c r="B18" s="15" t="n">
        <v>24133</v>
      </c>
      <c r="C18" s="15" t="n">
        <v>1</v>
      </c>
      <c r="D18" s="15" t="n">
        <v>0</v>
      </c>
      <c r="E18" s="15" t="n">
        <v>20</v>
      </c>
      <c r="F18" s="15" t="n">
        <v>76</v>
      </c>
      <c r="G18" s="15" t="n">
        <v>0</v>
      </c>
      <c r="H18" s="15" t="n">
        <v>5</v>
      </c>
    </row>
    <row r="19" customFormat="false" ht="15" hidden="false" customHeight="true" outlineLevel="0" collapsed="false">
      <c r="A19" s="12" t="s">
        <v>38</v>
      </c>
      <c r="B19" s="13" t="n">
        <v>22686</v>
      </c>
      <c r="C19" s="13" t="n">
        <v>2</v>
      </c>
      <c r="D19" s="13" t="n">
        <v>0</v>
      </c>
      <c r="E19" s="13" t="n">
        <v>4</v>
      </c>
      <c r="F19" s="13" t="n">
        <v>135</v>
      </c>
      <c r="G19" s="13" t="n">
        <v>0</v>
      </c>
      <c r="H19" s="13" t="n">
        <v>6</v>
      </c>
    </row>
    <row r="20" customFormat="false" ht="15" hidden="false" customHeight="true" outlineLevel="0" collapsed="false">
      <c r="A20" s="14" t="s">
        <v>39</v>
      </c>
      <c r="B20" s="15" t="n">
        <v>20078</v>
      </c>
      <c r="C20" s="15" t="n">
        <v>1</v>
      </c>
      <c r="D20" s="15" t="n">
        <v>1</v>
      </c>
      <c r="E20" s="15" t="n">
        <v>7</v>
      </c>
      <c r="F20" s="15" t="n">
        <v>21</v>
      </c>
      <c r="G20" s="15" t="n">
        <v>1</v>
      </c>
      <c r="H20" s="15" t="n">
        <v>6</v>
      </c>
    </row>
    <row r="21" customFormat="false" ht="15" hidden="false" customHeight="true" outlineLevel="0" collapsed="false">
      <c r="A21" s="12" t="s">
        <v>40</v>
      </c>
      <c r="B21" s="13" t="n">
        <v>18627</v>
      </c>
      <c r="C21" s="13" t="n">
        <v>2</v>
      </c>
      <c r="D21" s="13" t="n">
        <v>0</v>
      </c>
      <c r="E21" s="13" t="n">
        <v>20</v>
      </c>
      <c r="F21" s="13" t="n">
        <v>223</v>
      </c>
      <c r="G21" s="13" t="n">
        <v>99</v>
      </c>
      <c r="H21" s="13" t="n">
        <v>4</v>
      </c>
    </row>
    <row r="22" customFormat="false" ht="15" hidden="false" customHeight="true" outlineLevel="0" collapsed="false">
      <c r="A22" s="14" t="s">
        <v>41</v>
      </c>
      <c r="B22" s="15" t="n">
        <v>16624</v>
      </c>
      <c r="C22" s="15" t="n">
        <v>1</v>
      </c>
      <c r="D22" s="15" t="n">
        <v>0</v>
      </c>
      <c r="E22" s="15" t="n">
        <v>3</v>
      </c>
      <c r="F22" s="15" t="n">
        <v>54</v>
      </c>
      <c r="G22" s="15" t="n">
        <v>0</v>
      </c>
      <c r="H22" s="15" t="n">
        <v>3</v>
      </c>
    </row>
    <row r="23" customFormat="false" ht="15" hidden="false" customHeight="true" outlineLevel="0" collapsed="false">
      <c r="A23" s="12" t="s">
        <v>42</v>
      </c>
      <c r="B23" s="13" t="n">
        <v>13117</v>
      </c>
      <c r="C23" s="13" t="n">
        <v>1</v>
      </c>
      <c r="D23" s="13" t="n">
        <v>0</v>
      </c>
      <c r="E23" s="13" t="n">
        <v>10</v>
      </c>
      <c r="F23" s="13" t="n">
        <v>189</v>
      </c>
      <c r="G23" s="13" t="n">
        <v>10</v>
      </c>
      <c r="H23" s="13" t="n">
        <v>3</v>
      </c>
    </row>
    <row r="24" customFormat="false" ht="15" hidden="false" customHeight="true" outlineLevel="0" collapsed="false">
      <c r="A24" s="14" t="s">
        <v>43</v>
      </c>
      <c r="B24" s="15" t="n">
        <v>12264</v>
      </c>
      <c r="C24" s="15" t="n">
        <v>1</v>
      </c>
      <c r="D24" s="15" t="n">
        <v>0</v>
      </c>
      <c r="E24" s="15" t="n">
        <v>4</v>
      </c>
      <c r="F24" s="15" t="n">
        <v>38</v>
      </c>
      <c r="G24" s="15" t="n">
        <v>0</v>
      </c>
      <c r="H24" s="15" t="n">
        <v>3</v>
      </c>
    </row>
    <row r="25" customFormat="false" ht="15" hidden="false" customHeight="true" outlineLevel="0" collapsed="false">
      <c r="A25" s="12" t="s">
        <v>44</v>
      </c>
      <c r="B25" s="13" t="n">
        <v>11870</v>
      </c>
      <c r="C25" s="13" t="n">
        <v>1</v>
      </c>
      <c r="D25" s="13" t="n">
        <v>0</v>
      </c>
      <c r="E25" s="13" t="n">
        <v>2</v>
      </c>
      <c r="F25" s="13" t="n">
        <v>108</v>
      </c>
      <c r="G25" s="13" t="n">
        <v>2091</v>
      </c>
      <c r="H25" s="13" t="n">
        <v>4</v>
      </c>
    </row>
    <row r="26" customFormat="false" ht="15" hidden="false" customHeight="true" outlineLevel="0" collapsed="false">
      <c r="A26" s="14" t="s">
        <v>45</v>
      </c>
      <c r="B26" s="15" t="n">
        <v>7838</v>
      </c>
      <c r="C26" s="15" t="n">
        <v>1</v>
      </c>
      <c r="D26" s="15" t="n">
        <v>0</v>
      </c>
      <c r="E26" s="15" t="n">
        <v>2</v>
      </c>
      <c r="F26" s="15" t="n">
        <v>50</v>
      </c>
      <c r="G26" s="15" t="n">
        <v>0</v>
      </c>
      <c r="H26" s="15" t="n">
        <v>3</v>
      </c>
    </row>
    <row r="27" customFormat="false" ht="15" hidden="false" customHeight="true" outlineLevel="0" collapsed="false">
      <c r="A27" s="12" t="s">
        <v>46</v>
      </c>
      <c r="B27" s="13" t="n">
        <v>7506</v>
      </c>
      <c r="C27" s="13" t="n">
        <v>1</v>
      </c>
      <c r="D27" s="13" t="n">
        <v>0</v>
      </c>
      <c r="E27" s="13" t="n">
        <v>0</v>
      </c>
      <c r="F27" s="13" t="n">
        <v>27</v>
      </c>
      <c r="G27" s="13" t="n">
        <v>1</v>
      </c>
      <c r="H27" s="13" t="n">
        <v>3</v>
      </c>
    </row>
    <row r="28" customFormat="false" ht="15" hidden="false" customHeight="true" outlineLevel="0" collapsed="false">
      <c r="A28" s="14" t="s">
        <v>47</v>
      </c>
      <c r="B28" s="15" t="n">
        <v>7281</v>
      </c>
      <c r="C28" s="15" t="n">
        <v>1</v>
      </c>
      <c r="D28" s="15" t="n">
        <v>0</v>
      </c>
      <c r="E28" s="15" t="n">
        <v>2</v>
      </c>
      <c r="F28" s="15" t="n">
        <v>66</v>
      </c>
      <c r="G28" s="15" t="n">
        <v>0</v>
      </c>
      <c r="H28" s="15" t="n">
        <v>4</v>
      </c>
    </row>
    <row r="29" customFormat="false" ht="15" hidden="false" customHeight="true" outlineLevel="0" collapsed="false">
      <c r="A29" s="12" t="s">
        <v>48</v>
      </c>
      <c r="B29" s="13" t="n">
        <v>7009</v>
      </c>
      <c r="C29" s="13" t="n">
        <v>1</v>
      </c>
      <c r="D29" s="13" t="n">
        <v>0</v>
      </c>
      <c r="E29" s="13" t="n">
        <v>4</v>
      </c>
      <c r="F29" s="13" t="n">
        <v>32</v>
      </c>
      <c r="G29" s="13" t="n">
        <v>0</v>
      </c>
      <c r="H29" s="13" t="n">
        <v>4</v>
      </c>
    </row>
    <row r="30" customFormat="false" ht="15" hidden="false" customHeight="true" outlineLevel="0" collapsed="false">
      <c r="A30" s="14" t="s">
        <v>49</v>
      </c>
      <c r="B30" s="15" t="n">
        <v>6860</v>
      </c>
      <c r="C30" s="15" t="n">
        <v>1</v>
      </c>
      <c r="D30" s="15" t="n">
        <v>0</v>
      </c>
      <c r="E30" s="15" t="n">
        <v>1</v>
      </c>
      <c r="F30" s="15" t="n">
        <v>25</v>
      </c>
      <c r="G30" s="15" t="n">
        <v>0</v>
      </c>
      <c r="H30" s="15" t="n">
        <v>3</v>
      </c>
    </row>
    <row r="31" customFormat="false" ht="15" hidden="false" customHeight="true" outlineLevel="0" collapsed="false">
      <c r="A31" s="12" t="s">
        <v>50</v>
      </c>
      <c r="B31" s="13" t="n">
        <v>6830</v>
      </c>
      <c r="C31" s="13" t="n">
        <v>2</v>
      </c>
      <c r="D31" s="13" t="n">
        <v>0</v>
      </c>
      <c r="E31" s="13" t="n">
        <v>2</v>
      </c>
      <c r="F31" s="13" t="n">
        <v>63</v>
      </c>
      <c r="G31" s="13" t="n">
        <v>0</v>
      </c>
      <c r="H31" s="13" t="n">
        <v>0</v>
      </c>
    </row>
    <row r="32" customFormat="false" ht="15" hidden="false" customHeight="true" outlineLevel="0" collapsed="false">
      <c r="A32" s="14" t="s">
        <v>51</v>
      </c>
      <c r="B32" s="15" t="n">
        <v>5738</v>
      </c>
      <c r="C32" s="15" t="n">
        <v>1</v>
      </c>
      <c r="D32" s="15" t="n">
        <v>0</v>
      </c>
      <c r="E32" s="15" t="n">
        <v>3</v>
      </c>
      <c r="F32" s="15" t="n">
        <v>27</v>
      </c>
      <c r="G32" s="15" t="n">
        <v>0</v>
      </c>
      <c r="H32" s="15" t="n">
        <v>3</v>
      </c>
    </row>
    <row r="33" customFormat="false" ht="15" hidden="false" customHeight="true" outlineLevel="0" collapsed="false">
      <c r="A33" s="12" t="s">
        <v>52</v>
      </c>
      <c r="B33" s="13" t="n">
        <v>5546</v>
      </c>
      <c r="C33" s="13" t="n">
        <v>0</v>
      </c>
      <c r="D33" s="13" t="n">
        <v>0</v>
      </c>
      <c r="E33" s="13" t="n">
        <v>1</v>
      </c>
      <c r="F33" s="13" t="n">
        <v>9</v>
      </c>
      <c r="G33" s="13" t="n">
        <v>0</v>
      </c>
      <c r="H33" s="13" t="n">
        <v>6</v>
      </c>
    </row>
    <row r="34" customFormat="false" ht="15" hidden="false" customHeight="true" outlineLevel="0" collapsed="false">
      <c r="A34" s="14" t="s">
        <v>53</v>
      </c>
      <c r="B34" s="15" t="n">
        <v>5422</v>
      </c>
      <c r="C34" s="15" t="n">
        <v>1</v>
      </c>
      <c r="D34" s="15" t="n">
        <v>0</v>
      </c>
      <c r="E34" s="15" t="n">
        <v>4</v>
      </c>
      <c r="F34" s="15" t="n">
        <v>39</v>
      </c>
      <c r="G34" s="15" t="n">
        <v>0</v>
      </c>
      <c r="H34" s="15" t="n">
        <v>3</v>
      </c>
    </row>
    <row r="35" customFormat="false" ht="15" hidden="false" customHeight="true" outlineLevel="0" collapsed="false">
      <c r="A35" s="12" t="s">
        <v>54</v>
      </c>
      <c r="B35" s="13" t="n">
        <v>5242</v>
      </c>
      <c r="C35" s="13" t="n">
        <v>1</v>
      </c>
      <c r="D35" s="13" t="n">
        <v>0</v>
      </c>
      <c r="E35" s="13" t="n">
        <v>0</v>
      </c>
      <c r="F35" s="13" t="n">
        <v>98</v>
      </c>
      <c r="G35" s="13" t="n">
        <v>155</v>
      </c>
      <c r="H35" s="13" t="n">
        <v>3</v>
      </c>
    </row>
    <row r="36" customFormat="false" ht="15" hidden="false" customHeight="true" outlineLevel="0" collapsed="false">
      <c r="A36" s="14" t="s">
        <v>55</v>
      </c>
      <c r="B36" s="15" t="n">
        <v>4867</v>
      </c>
      <c r="C36" s="15" t="n">
        <v>1</v>
      </c>
      <c r="D36" s="15" t="n">
        <v>0</v>
      </c>
      <c r="E36" s="15" t="n">
        <v>1</v>
      </c>
      <c r="F36" s="15" t="n">
        <v>84</v>
      </c>
      <c r="G36" s="15" t="n">
        <v>0</v>
      </c>
      <c r="H36" s="15" t="n">
        <v>0</v>
      </c>
    </row>
    <row r="37" customFormat="false" ht="15" hidden="false" customHeight="true" outlineLevel="0" collapsed="false">
      <c r="A37" s="12" t="s">
        <v>56</v>
      </c>
      <c r="B37" s="13" t="n">
        <v>4417</v>
      </c>
      <c r="C37" s="13" t="n">
        <v>1</v>
      </c>
      <c r="D37" s="13" t="n">
        <v>0</v>
      </c>
      <c r="E37" s="13" t="n">
        <v>1</v>
      </c>
      <c r="F37" s="13" t="n">
        <v>24</v>
      </c>
      <c r="G37" s="13" t="n">
        <v>0</v>
      </c>
      <c r="H37" s="13" t="n">
        <v>2</v>
      </c>
    </row>
    <row r="38" customFormat="false" ht="15" hidden="false" customHeight="true" outlineLevel="0" collapsed="false">
      <c r="A38" s="14" t="s">
        <v>57</v>
      </c>
      <c r="B38" s="15" t="n">
        <v>3753</v>
      </c>
      <c r="C38" s="15" t="n">
        <v>1</v>
      </c>
      <c r="D38" s="15" t="n">
        <v>0</v>
      </c>
      <c r="E38" s="15" t="n">
        <v>1</v>
      </c>
      <c r="F38" s="15" t="n">
        <v>18</v>
      </c>
      <c r="G38" s="15" t="n">
        <v>140</v>
      </c>
      <c r="H38" s="15" t="n">
        <v>3</v>
      </c>
    </row>
    <row r="39" customFormat="false" ht="15" hidden="false" customHeight="true" outlineLevel="0" collapsed="false">
      <c r="A39" s="12" t="s">
        <v>58</v>
      </c>
      <c r="B39" s="13" t="n">
        <v>2996</v>
      </c>
      <c r="C39" s="13" t="n">
        <v>1</v>
      </c>
      <c r="D39" s="13" t="n">
        <v>0</v>
      </c>
      <c r="E39" s="13" t="n">
        <v>1</v>
      </c>
      <c r="F39" s="13" t="n">
        <v>45</v>
      </c>
      <c r="G39" s="13" t="n">
        <v>2</v>
      </c>
      <c r="H39" s="13" t="n">
        <v>1</v>
      </c>
    </row>
    <row r="40" customFormat="false" ht="15" hidden="false" customHeight="true" outlineLevel="0" collapsed="false">
      <c r="A40" s="14" t="s">
        <v>59</v>
      </c>
      <c r="B40" s="15" t="n">
        <v>2778</v>
      </c>
      <c r="C40" s="15" t="n">
        <v>0</v>
      </c>
      <c r="D40" s="15" t="n">
        <v>0</v>
      </c>
      <c r="E40" s="15" t="n">
        <v>1</v>
      </c>
      <c r="F40" s="15" t="n">
        <v>1</v>
      </c>
      <c r="G40" s="15" t="n">
        <v>0</v>
      </c>
      <c r="H40" s="15" t="n">
        <v>0</v>
      </c>
    </row>
    <row r="41" customFormat="false" ht="15" hidden="false" customHeight="true" outlineLevel="0" collapsed="false">
      <c r="A41" s="12" t="s">
        <v>60</v>
      </c>
      <c r="B41" s="13" t="n">
        <v>2637</v>
      </c>
      <c r="C41" s="13" t="n">
        <v>1</v>
      </c>
      <c r="D41" s="13" t="n">
        <v>0</v>
      </c>
      <c r="E41" s="13" t="n">
        <v>0</v>
      </c>
      <c r="F41" s="13" t="n">
        <v>26</v>
      </c>
      <c r="G41" s="13" t="n">
        <v>0</v>
      </c>
      <c r="H41" s="13" t="n">
        <v>4</v>
      </c>
    </row>
    <row r="42" customFormat="false" ht="15" hidden="false" customHeight="true" outlineLevel="0" collapsed="false">
      <c r="A42" s="14" t="s">
        <v>61</v>
      </c>
      <c r="B42" s="15" t="n">
        <v>2244</v>
      </c>
      <c r="C42" s="15" t="n">
        <v>1</v>
      </c>
      <c r="D42" s="15" t="n">
        <v>0</v>
      </c>
      <c r="E42" s="15" t="n">
        <v>3</v>
      </c>
      <c r="F42" s="15" t="n">
        <v>29</v>
      </c>
      <c r="G42" s="15" t="n">
        <v>0</v>
      </c>
      <c r="H42" s="15" t="n">
        <v>4</v>
      </c>
    </row>
    <row r="43" customFormat="false" ht="15" hidden="false" customHeight="true" outlineLevel="0" collapsed="false">
      <c r="A43" s="12" t="s">
        <v>62</v>
      </c>
      <c r="B43" s="13" t="n">
        <v>1987</v>
      </c>
      <c r="C43" s="13" t="n">
        <v>2</v>
      </c>
      <c r="D43" s="13" t="n">
        <v>0</v>
      </c>
      <c r="E43" s="13" t="n">
        <v>1</v>
      </c>
      <c r="F43" s="13" t="n">
        <v>48</v>
      </c>
      <c r="G43" s="13" t="n">
        <v>0</v>
      </c>
      <c r="H43" s="13" t="n">
        <v>13</v>
      </c>
    </row>
    <row r="44" customFormat="false" ht="15" hidden="false" customHeight="true" outlineLevel="0" collapsed="false">
      <c r="A44" s="14" t="s">
        <v>63</v>
      </c>
      <c r="B44" s="15" t="n">
        <v>1687</v>
      </c>
      <c r="C44" s="15" t="n">
        <v>0</v>
      </c>
      <c r="D44" s="15" t="n">
        <v>0</v>
      </c>
      <c r="E44" s="15" t="n">
        <v>1</v>
      </c>
      <c r="F44" s="15" t="n">
        <v>18</v>
      </c>
      <c r="G44" s="15" t="n">
        <v>0</v>
      </c>
      <c r="H44" s="15" t="n">
        <v>5</v>
      </c>
    </row>
    <row r="45" customFormat="false" ht="15" hidden="false" customHeight="true" outlineLevel="0" collapsed="false">
      <c r="A45" s="12" t="s">
        <v>64</v>
      </c>
      <c r="B45" s="13" t="n">
        <v>1453</v>
      </c>
      <c r="C45" s="13" t="n">
        <v>1</v>
      </c>
      <c r="D45" s="13" t="n">
        <v>0</v>
      </c>
      <c r="E45" s="13" t="n">
        <v>3</v>
      </c>
      <c r="F45" s="13" t="n">
        <v>14</v>
      </c>
      <c r="G45" s="13" t="n">
        <v>0</v>
      </c>
      <c r="H45" s="13" t="n">
        <v>2</v>
      </c>
    </row>
    <row r="46" customFormat="false" ht="15" hidden="false" customHeight="true" outlineLevel="0" collapsed="false">
      <c r="A46" s="14" t="s">
        <v>65</v>
      </c>
      <c r="B46" s="15" t="n">
        <v>1354</v>
      </c>
      <c r="C46" s="15" t="n">
        <v>1</v>
      </c>
      <c r="D46" s="15" t="n">
        <v>1</v>
      </c>
      <c r="E46" s="15" t="n">
        <v>0</v>
      </c>
      <c r="F46" s="15" t="n">
        <v>45</v>
      </c>
      <c r="G46" s="15" t="n">
        <v>126</v>
      </c>
      <c r="H46" s="15" t="n">
        <v>4</v>
      </c>
    </row>
    <row r="47" customFormat="false" ht="15" hidden="false" customHeight="true" outlineLevel="0" collapsed="false">
      <c r="A47" s="12" t="s">
        <v>66</v>
      </c>
      <c r="B47" s="13" t="n">
        <v>781</v>
      </c>
      <c r="C47" s="13" t="n">
        <v>0</v>
      </c>
      <c r="D47" s="13" t="n">
        <v>0</v>
      </c>
      <c r="E47" s="13" t="n">
        <v>2</v>
      </c>
      <c r="F47" s="13" t="n">
        <v>14</v>
      </c>
      <c r="G47" s="13" t="n">
        <v>0</v>
      </c>
      <c r="H47" s="13" t="n">
        <v>0</v>
      </c>
    </row>
    <row r="48" customFormat="false" ht="15" hidden="false" customHeight="true" outlineLevel="0" collapsed="false">
      <c r="A48" s="14" t="s">
        <v>67</v>
      </c>
      <c r="B48" s="15" t="n">
        <v>748</v>
      </c>
      <c r="C48" s="15" t="n">
        <v>1</v>
      </c>
      <c r="D48" s="15" t="n">
        <v>0</v>
      </c>
      <c r="E48" s="15" t="n">
        <v>0</v>
      </c>
      <c r="F48" s="15" t="n">
        <v>88</v>
      </c>
      <c r="G48" s="15" t="n">
        <v>0</v>
      </c>
      <c r="H48" s="15" t="n">
        <v>4</v>
      </c>
    </row>
    <row r="49" customFormat="false" ht="15" hidden="false" customHeight="true" outlineLevel="0" collapsed="false">
      <c r="A49" s="12" t="s">
        <v>68</v>
      </c>
      <c r="B49" s="13" t="n">
        <v>464</v>
      </c>
      <c r="C49" s="13" t="n">
        <v>1</v>
      </c>
      <c r="D49" s="13" t="n">
        <v>0</v>
      </c>
      <c r="E49" s="13" t="n">
        <v>0</v>
      </c>
      <c r="F49" s="13" t="n">
        <v>50</v>
      </c>
      <c r="G49" s="13" t="n">
        <v>0</v>
      </c>
      <c r="H49" s="13" t="n">
        <v>2</v>
      </c>
    </row>
    <row r="50" customFormat="false" ht="15" hidden="false" customHeight="true" outlineLevel="0" collapsed="false">
      <c r="A50" s="16" t="s">
        <v>69</v>
      </c>
      <c r="B50" s="17" t="n">
        <f aca="false">SUM(B5:B49)</f>
        <v>1261420</v>
      </c>
      <c r="C50" s="17" t="n">
        <f aca="false">SUM(C5:C49)</f>
        <v>63</v>
      </c>
      <c r="D50" s="17" t="n">
        <f aca="false">SUM(D5:D49)</f>
        <v>118</v>
      </c>
      <c r="E50" s="17" t="n">
        <f aca="false">SUM(E5:E49)</f>
        <v>782</v>
      </c>
      <c r="F50" s="17" t="n">
        <f aca="false">SUM(F5:F49)</f>
        <v>3787</v>
      </c>
      <c r="G50" s="17" t="n">
        <f aca="false">SUM(G5:G49)</f>
        <v>15179</v>
      </c>
      <c r="H50" s="17" t="n">
        <f aca="false">SUM(H5:H49)</f>
        <v>210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10" t="s">
        <v>70</v>
      </c>
      <c r="B1" s="10"/>
      <c r="C1" s="10"/>
    </row>
    <row r="2" customFormat="false" ht="15" hidden="false" customHeight="true" outlineLevel="0" collapsed="false">
      <c r="A2" s="6" t="s">
        <v>71</v>
      </c>
      <c r="B2" s="6"/>
      <c r="C2" s="6"/>
    </row>
    <row r="4" customFormat="false" ht="15" hidden="false" customHeight="true" outlineLevel="0" collapsed="false">
      <c r="A4" s="18" t="s">
        <v>72</v>
      </c>
      <c r="B4" s="18" t="s">
        <v>73</v>
      </c>
      <c r="C4" s="18" t="s">
        <v>74</v>
      </c>
    </row>
    <row r="5" customFormat="false" ht="15" hidden="false" customHeight="true" outlineLevel="0" collapsed="false">
      <c r="A5" s="14" t="s">
        <v>75</v>
      </c>
      <c r="B5" s="19" t="n">
        <f aca="false">COUNTA('Municipios (SIMA)'!A5:A49)</f>
        <v>45</v>
      </c>
      <c r="C5" s="20" t="s">
        <v>76</v>
      </c>
    </row>
    <row r="6" customFormat="false" ht="15" hidden="false" customHeight="true" outlineLevel="0" collapsed="false">
      <c r="A6" s="12" t="s">
        <v>77</v>
      </c>
      <c r="B6" s="21" t="n">
        <f aca="false">'Municipios (SIMA)'!B50</f>
        <v>1261420</v>
      </c>
      <c r="C6" s="22" t="s">
        <v>78</v>
      </c>
    </row>
    <row r="7" customFormat="false" ht="15" hidden="false" customHeight="true" outlineLevel="0" collapsed="false">
      <c r="A7" s="14" t="s">
        <v>79</v>
      </c>
      <c r="B7" s="23" t="n">
        <f aca="false">'Municipios (SIMA)'!C50</f>
        <v>63</v>
      </c>
      <c r="C7" s="20"/>
    </row>
    <row r="8" customFormat="false" ht="15" hidden="false" customHeight="true" outlineLevel="0" collapsed="false">
      <c r="A8" s="12" t="s">
        <v>80</v>
      </c>
      <c r="B8" s="21" t="n">
        <f aca="false">'Municipios (SIMA)'!D50</f>
        <v>118</v>
      </c>
      <c r="C8" s="22"/>
    </row>
    <row r="9" customFormat="false" ht="15" hidden="false" customHeight="true" outlineLevel="0" collapsed="false">
      <c r="A9" s="14" t="s">
        <v>81</v>
      </c>
      <c r="B9" s="23" t="n">
        <f aca="false">'Municipios (SIMA)'!E50</f>
        <v>782</v>
      </c>
      <c r="C9" s="20" t="s">
        <v>82</v>
      </c>
    </row>
    <row r="10" customFormat="false" ht="15" hidden="false" customHeight="true" outlineLevel="0" collapsed="false">
      <c r="A10" s="12" t="s">
        <v>83</v>
      </c>
      <c r="B10" s="21" t="n">
        <f aca="false">'Municipios (SIMA)'!F50</f>
        <v>3787</v>
      </c>
      <c r="C10" s="22"/>
    </row>
    <row r="11" customFormat="false" ht="15" hidden="false" customHeight="true" outlineLevel="0" collapsed="false">
      <c r="A11" s="14" t="s">
        <v>84</v>
      </c>
      <c r="B11" s="23" t="n">
        <f aca="false">'Municipios (SIMA)'!G50</f>
        <v>15179</v>
      </c>
      <c r="C11" s="20"/>
    </row>
    <row r="12" customFormat="false" ht="15" hidden="false" customHeight="true" outlineLevel="0" collapsed="false">
      <c r="A12" s="12" t="s">
        <v>85</v>
      </c>
      <c r="B12" s="21" t="n">
        <f aca="false">'Municipios (SIMA)'!H50</f>
        <v>210</v>
      </c>
      <c r="C12" s="22"/>
    </row>
    <row r="13" customFormat="false" ht="15" hidden="false" customHeight="true" outlineLevel="0" collapsed="false">
      <c r="A13" s="14" t="s">
        <v>86</v>
      </c>
      <c r="B13" s="23" t="n">
        <f aca="false">'Municipios (SIMA)'!B50/'Municipios (SIMA)'!C50</f>
        <v>20022.5396825397</v>
      </c>
      <c r="C13" s="20" t="s">
        <v>87</v>
      </c>
    </row>
    <row r="14" customFormat="false" ht="15" hidden="false" customHeight="true" outlineLevel="0" collapsed="false">
      <c r="A14" s="12" t="s">
        <v>88</v>
      </c>
      <c r="B14" s="24" t="str">
        <f aca="false">INDEX('Municipios (SIMA)'!A5:A49,MATCH(MAX('Municipios (SIMA)'!G5:G49),'Municipios (SIMA)'!G5:G49,0))</f>
        <v>Cádiz</v>
      </c>
      <c r="C14" s="22" t="s">
        <v>89</v>
      </c>
    </row>
    <row r="15" customFormat="false" ht="15" hidden="false" customHeight="true" outlineLevel="0" collapsed="false">
      <c r="A15" s="14" t="s">
        <v>90</v>
      </c>
      <c r="B15" s="19" t="str">
        <f aca="false">INDEX('Municipios (SIMA)'!A5:A49,MATCH(MAX('Municipios (SIMA)'!D5:D49),'Municipios (SIMA)'!D5:D49,0))</f>
        <v>Jerez de la Frontera</v>
      </c>
      <c r="C15" s="20"/>
    </row>
    <row r="17" customFormat="false" ht="30" hidden="false" customHeight="true" outlineLevel="0" collapsed="false">
      <c r="A17" s="25" t="s">
        <v>91</v>
      </c>
      <c r="B17" s="25"/>
      <c r="C17" s="25"/>
    </row>
  </sheetData>
  <mergeCells count="3">
    <mergeCell ref="A1:C1"/>
    <mergeCell ref="A2:C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10" t="s">
        <v>92</v>
      </c>
      <c r="B1" s="10"/>
      <c r="C1" s="10"/>
      <c r="D1" s="10"/>
    </row>
    <row r="2" customFormat="false" ht="15" hidden="false" customHeight="true" outlineLevel="0" collapsed="false">
      <c r="A2" s="6" t="s">
        <v>93</v>
      </c>
      <c r="B2" s="6"/>
      <c r="C2" s="6"/>
      <c r="D2" s="6"/>
    </row>
    <row r="4" customFormat="false" ht="15" hidden="false" customHeight="true" outlineLevel="0" collapsed="false">
      <c r="A4" s="26" t="s">
        <v>94</v>
      </c>
      <c r="B4" s="26"/>
      <c r="C4" s="26"/>
      <c r="D4" s="26"/>
    </row>
    <row r="5" customFormat="false" ht="15" hidden="false" customHeight="true" outlineLevel="0" collapsed="false">
      <c r="A5" s="24" t="s">
        <v>95</v>
      </c>
      <c r="B5" s="24" t="s">
        <v>96</v>
      </c>
      <c r="C5" s="24" t="s">
        <v>97</v>
      </c>
      <c r="D5" s="24" t="s">
        <v>98</v>
      </c>
    </row>
    <row r="6" customFormat="false" ht="15" hidden="false" customHeight="true" outlineLevel="0" collapsed="false">
      <c r="A6" s="12" t="n">
        <v>2019</v>
      </c>
      <c r="B6" s="27" t="n">
        <v>154708</v>
      </c>
      <c r="C6" s="12" t="s">
        <v>99</v>
      </c>
      <c r="D6" s="22" t="s">
        <v>100</v>
      </c>
    </row>
    <row r="7" customFormat="false" ht="15" hidden="false" customHeight="true" outlineLevel="0" collapsed="false">
      <c r="A7" s="12" t="n">
        <v>2021</v>
      </c>
      <c r="B7" s="27" t="n">
        <v>61729</v>
      </c>
      <c r="C7" s="12" t="s">
        <v>101</v>
      </c>
      <c r="D7" s="22" t="s">
        <v>100</v>
      </c>
    </row>
    <row r="8" customFormat="false" ht="15" hidden="false" customHeight="true" outlineLevel="0" collapsed="false">
      <c r="A8" s="12" t="n">
        <v>2022</v>
      </c>
      <c r="B8" s="27" t="n">
        <v>124165</v>
      </c>
      <c r="C8" s="12" t="s">
        <v>99</v>
      </c>
      <c r="D8" s="22" t="s">
        <v>100</v>
      </c>
    </row>
    <row r="9" customFormat="false" ht="15" hidden="false" customHeight="true" outlineLevel="0" collapsed="false">
      <c r="A9" s="12" t="n">
        <v>2023</v>
      </c>
      <c r="B9" s="27" t="n">
        <v>162622</v>
      </c>
      <c r="C9" s="12" t="s">
        <v>99</v>
      </c>
      <c r="D9" s="22" t="s">
        <v>102</v>
      </c>
    </row>
    <row r="10" customFormat="false" ht="15" hidden="false" customHeight="true" outlineLevel="0" collapsed="false">
      <c r="A10" s="12" t="n">
        <v>2024</v>
      </c>
      <c r="B10" s="27" t="n">
        <v>209651</v>
      </c>
      <c r="C10" s="12" t="s">
        <v>103</v>
      </c>
      <c r="D10" s="22" t="s">
        <v>104</v>
      </c>
    </row>
    <row r="11" customFormat="false" ht="15" hidden="false" customHeight="true" outlineLevel="0" collapsed="false">
      <c r="A11" s="12" t="n">
        <v>2025</v>
      </c>
      <c r="B11" s="27" t="n">
        <v>222611</v>
      </c>
      <c r="C11" s="12" t="s">
        <v>105</v>
      </c>
      <c r="D11" s="22" t="s">
        <v>106</v>
      </c>
    </row>
    <row r="13" customFormat="false" ht="15" hidden="false" customHeight="true" outlineLevel="0" collapsed="false">
      <c r="A13" s="26" t="s">
        <v>107</v>
      </c>
      <c r="B13" s="26"/>
      <c r="C13" s="26"/>
      <c r="D13" s="26"/>
    </row>
    <row r="14" customFormat="false" ht="15" hidden="false" customHeight="true" outlineLevel="0" collapsed="false">
      <c r="A14" s="24" t="s">
        <v>108</v>
      </c>
      <c r="B14" s="24" t="s">
        <v>109</v>
      </c>
      <c r="C14" s="24" t="s">
        <v>95</v>
      </c>
      <c r="D14" s="24" t="s">
        <v>98</v>
      </c>
    </row>
    <row r="15" customFormat="false" ht="15" hidden="false" customHeight="true" outlineLevel="0" collapsed="false">
      <c r="A15" s="12" t="s">
        <v>110</v>
      </c>
      <c r="B15" s="12" t="s">
        <v>111</v>
      </c>
      <c r="C15" s="12" t="n">
        <v>2025</v>
      </c>
      <c r="D15" s="22" t="s">
        <v>106</v>
      </c>
    </row>
    <row r="16" customFormat="false" ht="15" hidden="false" customHeight="true" outlineLevel="0" collapsed="false">
      <c r="A16" s="12" t="s">
        <v>110</v>
      </c>
      <c r="B16" s="12" t="s">
        <v>112</v>
      </c>
      <c r="C16" s="12" t="n">
        <v>2024</v>
      </c>
      <c r="D16" s="22" t="s">
        <v>113</v>
      </c>
    </row>
    <row r="17" customFormat="false" ht="15" hidden="false" customHeight="true" outlineLevel="0" collapsed="false">
      <c r="A17" s="12" t="s">
        <v>114</v>
      </c>
      <c r="B17" s="12" t="s">
        <v>115</v>
      </c>
      <c r="C17" s="12" t="n">
        <v>2025</v>
      </c>
      <c r="D17" s="22" t="s">
        <v>106</v>
      </c>
    </row>
    <row r="18" customFormat="false" ht="15" hidden="false" customHeight="true" outlineLevel="0" collapsed="false">
      <c r="A18" s="12" t="s">
        <v>116</v>
      </c>
      <c r="B18" s="12" t="s">
        <v>117</v>
      </c>
      <c r="C18" s="12" t="n">
        <v>2025</v>
      </c>
      <c r="D18" s="22" t="s">
        <v>118</v>
      </c>
    </row>
    <row r="20" customFormat="false" ht="45" hidden="false" customHeight="true" outlineLevel="0" collapsed="false">
      <c r="A20" s="25" t="s">
        <v>119</v>
      </c>
      <c r="B20" s="25"/>
      <c r="C20" s="25"/>
      <c r="D20" s="25"/>
    </row>
  </sheetData>
  <mergeCells count="5">
    <mergeCell ref="A1:D1"/>
    <mergeCell ref="A2:D2"/>
    <mergeCell ref="A4:D4"/>
    <mergeCell ref="A13:D13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8" min="3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28" t="s">
        <v>120</v>
      </c>
      <c r="B1" s="28"/>
      <c r="C1" s="28"/>
      <c r="D1" s="28"/>
      <c r="E1" s="28"/>
      <c r="F1" s="28"/>
      <c r="G1" s="28"/>
      <c r="H1" s="28"/>
      <c r="I1" s="28"/>
    </row>
    <row r="2" customFormat="false" ht="30" hidden="false" customHeight="true" outlineLevel="0" collapsed="false">
      <c r="A2" s="25" t="s">
        <v>121</v>
      </c>
      <c r="B2" s="25"/>
      <c r="C2" s="25"/>
      <c r="D2" s="25"/>
      <c r="E2" s="25"/>
      <c r="F2" s="25"/>
      <c r="G2" s="25"/>
      <c r="H2" s="25"/>
      <c r="I2" s="25"/>
    </row>
    <row r="4" customFormat="false" ht="33.75" hidden="false" customHeight="true" outlineLevel="0" collapsed="false">
      <c r="A4" s="11" t="s">
        <v>122</v>
      </c>
      <c r="B4" s="11" t="s">
        <v>123</v>
      </c>
      <c r="C4" s="11" t="s">
        <v>124</v>
      </c>
      <c r="D4" s="11" t="s">
        <v>125</v>
      </c>
      <c r="E4" s="11" t="s">
        <v>126</v>
      </c>
      <c r="F4" s="11" t="s">
        <v>127</v>
      </c>
      <c r="G4" s="11" t="s">
        <v>128</v>
      </c>
      <c r="H4" s="11" t="s">
        <v>129</v>
      </c>
      <c r="I4" s="11" t="s">
        <v>130</v>
      </c>
    </row>
    <row r="5" customFormat="false" ht="15" hidden="false" customHeight="false" outlineLevel="0" collapsed="false">
      <c r="A5" s="29" t="s">
        <v>131</v>
      </c>
      <c r="B5" s="29" t="s">
        <v>132</v>
      </c>
      <c r="C5" s="30" t="s">
        <v>133</v>
      </c>
      <c r="D5" s="30" t="s">
        <v>133</v>
      </c>
      <c r="E5" s="31" t="n">
        <v>-0.475</v>
      </c>
      <c r="F5" s="30" t="s">
        <v>133</v>
      </c>
      <c r="G5" s="30" t="s">
        <v>133</v>
      </c>
      <c r="H5" s="30" t="s">
        <v>133</v>
      </c>
      <c r="I5" s="32" t="s">
        <v>134</v>
      </c>
    </row>
    <row r="6" customFormat="false" ht="15" hidden="false" customHeight="false" outlineLevel="0" collapsed="false">
      <c r="A6" s="33" t="s">
        <v>135</v>
      </c>
      <c r="B6" s="34" t="s">
        <v>136</v>
      </c>
      <c r="C6" s="35" t="s">
        <v>133</v>
      </c>
      <c r="D6" s="35" t="s">
        <v>133</v>
      </c>
      <c r="E6" s="35" t="s">
        <v>133</v>
      </c>
      <c r="F6" s="35" t="s">
        <v>133</v>
      </c>
      <c r="G6" s="35" t="s">
        <v>133</v>
      </c>
      <c r="H6" s="35" t="s">
        <v>133</v>
      </c>
      <c r="I6" s="36" t="s">
        <v>137</v>
      </c>
    </row>
    <row r="7" customFormat="false" ht="15" hidden="false" customHeight="false" outlineLevel="0" collapsed="false">
      <c r="A7" s="37" t="s">
        <v>138</v>
      </c>
      <c r="B7" s="29" t="s">
        <v>136</v>
      </c>
      <c r="C7" s="30" t="s">
        <v>133</v>
      </c>
      <c r="D7" s="30" t="s">
        <v>133</v>
      </c>
      <c r="E7" s="30" t="s">
        <v>133</v>
      </c>
      <c r="F7" s="30" t="s">
        <v>133</v>
      </c>
      <c r="G7" s="30" t="s">
        <v>133</v>
      </c>
      <c r="H7" s="30" t="s">
        <v>133</v>
      </c>
      <c r="I7" s="32" t="s">
        <v>139</v>
      </c>
    </row>
    <row r="8" customFormat="false" ht="15" hidden="false" customHeight="false" outlineLevel="0" collapsed="false">
      <c r="A8" s="34" t="s">
        <v>140</v>
      </c>
      <c r="B8" s="34" t="s">
        <v>132</v>
      </c>
      <c r="C8" s="35" t="s">
        <v>133</v>
      </c>
      <c r="D8" s="38" t="n">
        <v>0.226</v>
      </c>
      <c r="E8" s="35" t="s">
        <v>133</v>
      </c>
      <c r="F8" s="35" t="s">
        <v>133</v>
      </c>
      <c r="G8" s="35" t="s">
        <v>133</v>
      </c>
      <c r="H8" s="35" t="s">
        <v>133</v>
      </c>
      <c r="I8" s="36" t="s">
        <v>141</v>
      </c>
    </row>
    <row r="9" customFormat="false" ht="15" hidden="false" customHeight="false" outlineLevel="0" collapsed="false">
      <c r="A9" s="37" t="s">
        <v>142</v>
      </c>
      <c r="B9" s="29" t="s">
        <v>136</v>
      </c>
      <c r="C9" s="30" t="s">
        <v>133</v>
      </c>
      <c r="D9" s="30" t="s">
        <v>133</v>
      </c>
      <c r="E9" s="30" t="s">
        <v>133</v>
      </c>
      <c r="F9" s="30" t="s">
        <v>133</v>
      </c>
      <c r="G9" s="30" t="s">
        <v>133</v>
      </c>
      <c r="H9" s="30" t="s">
        <v>133</v>
      </c>
      <c r="I9" s="32" t="s">
        <v>143</v>
      </c>
    </row>
    <row r="10" customFormat="false" ht="15" hidden="false" customHeight="false" outlineLevel="0" collapsed="false">
      <c r="A10" s="34" t="s">
        <v>144</v>
      </c>
      <c r="B10" s="34" t="s">
        <v>132</v>
      </c>
      <c r="C10" s="35" t="s">
        <v>133</v>
      </c>
      <c r="D10" s="35" t="s">
        <v>133</v>
      </c>
      <c r="E10" s="35" t="s">
        <v>133</v>
      </c>
      <c r="F10" s="35" t="s">
        <v>133</v>
      </c>
      <c r="G10" s="35" t="s">
        <v>133</v>
      </c>
      <c r="H10" s="39" t="n">
        <v>8.6</v>
      </c>
      <c r="I10" s="36" t="s">
        <v>145</v>
      </c>
    </row>
    <row r="11" customFormat="false" ht="15" hidden="false" customHeight="false" outlineLevel="0" collapsed="false">
      <c r="A11" s="29" t="s">
        <v>146</v>
      </c>
      <c r="B11" s="29" t="s">
        <v>132</v>
      </c>
      <c r="C11" s="30" t="s">
        <v>133</v>
      </c>
      <c r="D11" s="40" t="n">
        <v>0.208</v>
      </c>
      <c r="E11" s="30" t="s">
        <v>133</v>
      </c>
      <c r="F11" s="30" t="s">
        <v>133</v>
      </c>
      <c r="G11" s="30" t="s">
        <v>133</v>
      </c>
      <c r="H11" s="30" t="s">
        <v>133</v>
      </c>
      <c r="I11" s="32" t="s">
        <v>147</v>
      </c>
    </row>
    <row r="12" customFormat="false" ht="15" hidden="false" customHeight="false" outlineLevel="0" collapsed="false">
      <c r="A12" s="33" t="s">
        <v>148</v>
      </c>
      <c r="B12" s="34" t="s">
        <v>136</v>
      </c>
      <c r="C12" s="35" t="s">
        <v>133</v>
      </c>
      <c r="D12" s="38" t="n">
        <v>0.171</v>
      </c>
      <c r="E12" s="35" t="s">
        <v>133</v>
      </c>
      <c r="F12" s="35" t="s">
        <v>133</v>
      </c>
      <c r="G12" s="35" t="s">
        <v>133</v>
      </c>
      <c r="H12" s="35" t="s">
        <v>133</v>
      </c>
      <c r="I12" s="36" t="s">
        <v>149</v>
      </c>
    </row>
    <row r="13" customFormat="false" ht="15" hidden="false" customHeight="false" outlineLevel="0" collapsed="false">
      <c r="A13" s="29" t="s">
        <v>150</v>
      </c>
      <c r="B13" s="29" t="s">
        <v>132</v>
      </c>
      <c r="C13" s="30" t="s">
        <v>133</v>
      </c>
      <c r="D13" s="40" t="n">
        <v>0.21</v>
      </c>
      <c r="E13" s="30" t="s">
        <v>133</v>
      </c>
      <c r="F13" s="30" t="s">
        <v>133</v>
      </c>
      <c r="G13" s="30" t="s">
        <v>133</v>
      </c>
      <c r="H13" s="41" t="n">
        <v>9.2</v>
      </c>
      <c r="I13" s="32" t="s">
        <v>151</v>
      </c>
    </row>
    <row r="14" customFormat="false" ht="15" hidden="false" customHeight="false" outlineLevel="0" collapsed="false">
      <c r="A14" s="34" t="s">
        <v>152</v>
      </c>
      <c r="B14" s="34" t="s">
        <v>132</v>
      </c>
      <c r="C14" s="35" t="s">
        <v>133</v>
      </c>
      <c r="D14" s="35" t="s">
        <v>133</v>
      </c>
      <c r="E14" s="35" t="s">
        <v>133</v>
      </c>
      <c r="F14" s="35" t="s">
        <v>133</v>
      </c>
      <c r="G14" s="35" t="s">
        <v>133</v>
      </c>
      <c r="H14" s="39" t="n">
        <v>9.2</v>
      </c>
      <c r="I14" s="36" t="s">
        <v>153</v>
      </c>
    </row>
    <row r="15" customFormat="false" ht="15" hidden="false" customHeight="false" outlineLevel="0" collapsed="false">
      <c r="A15" s="37" t="s">
        <v>154</v>
      </c>
      <c r="B15" s="29" t="s">
        <v>136</v>
      </c>
      <c r="C15" s="30" t="s">
        <v>133</v>
      </c>
      <c r="D15" s="30" t="s">
        <v>133</v>
      </c>
      <c r="E15" s="30" t="s">
        <v>133</v>
      </c>
      <c r="F15" s="30" t="s">
        <v>133</v>
      </c>
      <c r="G15" s="30" t="s">
        <v>133</v>
      </c>
      <c r="H15" s="41" t="n">
        <v>9.2</v>
      </c>
      <c r="I15" s="32" t="s">
        <v>155</v>
      </c>
    </row>
    <row r="16" customFormat="false" ht="15" hidden="false" customHeight="false" outlineLevel="0" collapsed="false">
      <c r="A16" s="34" t="s">
        <v>156</v>
      </c>
      <c r="B16" s="34" t="s">
        <v>132</v>
      </c>
      <c r="C16" s="35" t="s">
        <v>133</v>
      </c>
      <c r="D16" s="38" t="n">
        <v>0.121</v>
      </c>
      <c r="E16" s="35" t="s">
        <v>133</v>
      </c>
      <c r="F16" s="35" t="s">
        <v>133</v>
      </c>
      <c r="G16" s="35" t="s">
        <v>133</v>
      </c>
      <c r="H16" s="35" t="s">
        <v>133</v>
      </c>
      <c r="I16" s="36" t="s">
        <v>157</v>
      </c>
    </row>
    <row r="17" customFormat="false" ht="15" hidden="false" customHeight="false" outlineLevel="0" collapsed="false">
      <c r="A17" s="29" t="s">
        <v>158</v>
      </c>
      <c r="B17" s="29" t="s">
        <v>132</v>
      </c>
      <c r="C17" s="30" t="s">
        <v>133</v>
      </c>
      <c r="D17" s="40" t="n">
        <v>0.184</v>
      </c>
      <c r="E17" s="30" t="s">
        <v>133</v>
      </c>
      <c r="F17" s="30" t="s">
        <v>133</v>
      </c>
      <c r="G17" s="30" t="s">
        <v>133</v>
      </c>
      <c r="H17" s="41" t="n">
        <v>9.1</v>
      </c>
      <c r="I17" s="32" t="s">
        <v>159</v>
      </c>
    </row>
    <row r="18" customFormat="false" ht="15" hidden="false" customHeight="false" outlineLevel="0" collapsed="false">
      <c r="A18" s="34" t="s">
        <v>160</v>
      </c>
      <c r="B18" s="34" t="s">
        <v>132</v>
      </c>
      <c r="C18" s="35" t="s">
        <v>133</v>
      </c>
      <c r="D18" s="35" t="s">
        <v>133</v>
      </c>
      <c r="E18" s="35" t="s">
        <v>133</v>
      </c>
      <c r="F18" s="35" t="s">
        <v>133</v>
      </c>
      <c r="G18" s="35" t="s">
        <v>133</v>
      </c>
      <c r="H18" s="35" t="s">
        <v>133</v>
      </c>
      <c r="I18" s="36" t="s">
        <v>161</v>
      </c>
    </row>
    <row r="19" customFormat="false" ht="15" hidden="false" customHeight="false" outlineLevel="0" collapsed="false">
      <c r="A19" s="29" t="s">
        <v>162</v>
      </c>
      <c r="B19" s="29" t="s">
        <v>132</v>
      </c>
      <c r="C19" s="30" t="s">
        <v>133</v>
      </c>
      <c r="D19" s="40" t="n">
        <v>0.135</v>
      </c>
      <c r="E19" s="30" t="s">
        <v>133</v>
      </c>
      <c r="F19" s="30" t="s">
        <v>133</v>
      </c>
      <c r="G19" s="30" t="s">
        <v>133</v>
      </c>
      <c r="H19" s="41" t="n">
        <v>9.3</v>
      </c>
      <c r="I19" s="32" t="s">
        <v>163</v>
      </c>
    </row>
    <row r="20" customFormat="false" ht="15" hidden="false" customHeight="false" outlineLevel="0" collapsed="false">
      <c r="A20" s="33" t="s">
        <v>164</v>
      </c>
      <c r="B20" s="34" t="s">
        <v>136</v>
      </c>
      <c r="C20" s="35" t="s">
        <v>133</v>
      </c>
      <c r="D20" s="38" t="n">
        <v>0.176</v>
      </c>
      <c r="E20" s="35" t="s">
        <v>133</v>
      </c>
      <c r="F20" s="35" t="s">
        <v>133</v>
      </c>
      <c r="G20" s="35" t="s">
        <v>133</v>
      </c>
      <c r="H20" s="39" t="n">
        <v>9.2</v>
      </c>
      <c r="I20" s="36" t="s">
        <v>165</v>
      </c>
    </row>
    <row r="21" customFormat="false" ht="15" hidden="false" customHeight="false" outlineLevel="0" collapsed="false">
      <c r="A21" s="29" t="s">
        <v>166</v>
      </c>
      <c r="B21" s="29" t="s">
        <v>132</v>
      </c>
      <c r="C21" s="13" t="n">
        <v>837321</v>
      </c>
      <c r="D21" s="40" t="n">
        <v>0.124</v>
      </c>
      <c r="E21" s="31" t="n">
        <v>0.071</v>
      </c>
      <c r="F21" s="42" t="n">
        <v>85.8</v>
      </c>
      <c r="G21" s="31" t="n">
        <v>-0.066</v>
      </c>
      <c r="H21" s="41" t="n">
        <v>9.4</v>
      </c>
      <c r="I21" s="32" t="s">
        <v>167</v>
      </c>
    </row>
    <row r="23" customFormat="false" ht="45" hidden="false" customHeight="true" outlineLevel="0" collapsed="false">
      <c r="A23" s="25" t="s">
        <v>168</v>
      </c>
      <c r="B23" s="25"/>
      <c r="C23" s="25"/>
      <c r="D23" s="25"/>
      <c r="E23" s="25"/>
      <c r="F23" s="25"/>
      <c r="G23" s="25"/>
      <c r="H23" s="25"/>
      <c r="I23" s="25"/>
    </row>
    <row r="25" customFormat="false" ht="15" hidden="false" customHeight="false" outlineLevel="0" collapsed="false">
      <c r="A25" s="43" t="s">
        <v>169</v>
      </c>
      <c r="B25" s="43"/>
      <c r="C25" s="43"/>
      <c r="D25" s="43"/>
      <c r="E25" s="43"/>
      <c r="F25" s="43"/>
      <c r="G25" s="43"/>
      <c r="H25" s="43"/>
      <c r="I25" s="43"/>
    </row>
    <row r="26" customFormat="false" ht="31.5" hidden="false" customHeight="true" outlineLevel="0" collapsed="false">
      <c r="A26" s="11" t="s">
        <v>95</v>
      </c>
      <c r="B26" s="11" t="s">
        <v>170</v>
      </c>
      <c r="C26" s="11" t="s">
        <v>171</v>
      </c>
      <c r="D26" s="11" t="s">
        <v>127</v>
      </c>
      <c r="E26" s="11" t="s">
        <v>172</v>
      </c>
      <c r="F26" s="11" t="s">
        <v>129</v>
      </c>
    </row>
    <row r="27" customFormat="false" ht="15" hidden="false" customHeight="false" outlineLevel="0" collapsed="false">
      <c r="A27" s="29" t="n">
        <v>2019</v>
      </c>
      <c r="B27" s="44" t="n">
        <v>32.5</v>
      </c>
      <c r="C27" s="30" t="s">
        <v>133</v>
      </c>
      <c r="D27" s="30" t="s">
        <v>133</v>
      </c>
      <c r="E27" s="30" t="s">
        <v>133</v>
      </c>
      <c r="F27" s="30" t="s">
        <v>133</v>
      </c>
    </row>
    <row r="28" customFormat="false" ht="15" hidden="false" customHeight="false" outlineLevel="0" collapsed="false">
      <c r="A28" s="34" t="n">
        <v>2020</v>
      </c>
      <c r="B28" s="35" t="s">
        <v>133</v>
      </c>
      <c r="C28" s="35" t="s">
        <v>133</v>
      </c>
      <c r="D28" s="35" t="s">
        <v>133</v>
      </c>
      <c r="E28" s="35" t="s">
        <v>133</v>
      </c>
      <c r="F28" s="35" t="s">
        <v>133</v>
      </c>
    </row>
    <row r="29" customFormat="false" ht="15" hidden="false" customHeight="false" outlineLevel="0" collapsed="false">
      <c r="A29" s="29" t="n">
        <v>2021</v>
      </c>
      <c r="B29" s="44" t="n">
        <v>20.07</v>
      </c>
      <c r="C29" s="30" t="s">
        <v>133</v>
      </c>
      <c r="D29" s="30" t="s">
        <v>133</v>
      </c>
      <c r="E29" s="30" t="s">
        <v>133</v>
      </c>
      <c r="F29" s="30" t="s">
        <v>133</v>
      </c>
    </row>
    <row r="30" customFormat="false" ht="15" hidden="false" customHeight="false" outlineLevel="0" collapsed="false">
      <c r="A30" s="34" t="n">
        <v>2022</v>
      </c>
      <c r="B30" s="45" t="n">
        <v>30.8</v>
      </c>
      <c r="C30" s="46" t="n">
        <v>0.537</v>
      </c>
      <c r="D30" s="47" t="n">
        <v>66.54</v>
      </c>
      <c r="E30" s="38" t="n">
        <v>0.31</v>
      </c>
      <c r="F30" s="35" t="s">
        <v>133</v>
      </c>
    </row>
    <row r="31" customFormat="false" ht="15" hidden="false" customHeight="false" outlineLevel="0" collapsed="false">
      <c r="A31" s="29" t="n">
        <v>2023</v>
      </c>
      <c r="B31" s="44" t="n">
        <v>34.21</v>
      </c>
      <c r="C31" s="31" t="n">
        <v>0.108</v>
      </c>
      <c r="D31" s="42" t="n">
        <v>77.83</v>
      </c>
      <c r="E31" s="40" t="n">
        <v>0.208</v>
      </c>
      <c r="F31" s="30" t="s">
        <v>133</v>
      </c>
    </row>
    <row r="32" customFormat="false" ht="15" hidden="false" customHeight="false" outlineLevel="0" collapsed="false">
      <c r="A32" s="34" t="n">
        <v>2024</v>
      </c>
      <c r="B32" s="45" t="n">
        <v>36</v>
      </c>
      <c r="C32" s="46" t="n">
        <v>0.053</v>
      </c>
      <c r="D32" s="35" t="s">
        <v>133</v>
      </c>
      <c r="E32" s="35" t="s">
        <v>133</v>
      </c>
      <c r="F32" s="35" t="s">
        <v>133</v>
      </c>
    </row>
    <row r="33" customFormat="false" ht="15" hidden="false" customHeight="false" outlineLevel="0" collapsed="false">
      <c r="A33" s="29" t="n">
        <v>2025</v>
      </c>
      <c r="B33" s="44" t="n">
        <v>37.9</v>
      </c>
      <c r="C33" s="31" t="n">
        <v>0.052</v>
      </c>
      <c r="D33" s="42" t="n">
        <v>87.05</v>
      </c>
      <c r="E33" s="30" t="s">
        <v>133</v>
      </c>
      <c r="F33" s="30" t="s">
        <v>133</v>
      </c>
    </row>
    <row r="35" customFormat="false" ht="30" hidden="false" customHeight="true" outlineLevel="0" collapsed="false">
      <c r="A35" s="25" t="s">
        <v>173</v>
      </c>
      <c r="B35" s="25"/>
      <c r="C35" s="25"/>
      <c r="D35" s="25"/>
      <c r="E35" s="25"/>
      <c r="F35" s="25"/>
      <c r="G35" s="25"/>
      <c r="H35" s="25"/>
      <c r="I35" s="25"/>
    </row>
    <row r="37" customFormat="false" ht="15" hidden="false" customHeight="false" outlineLevel="0" collapsed="false">
      <c r="A37" s="43" t="s">
        <v>174</v>
      </c>
      <c r="B37" s="43"/>
      <c r="C37" s="43"/>
      <c r="D37" s="43"/>
      <c r="E37" s="43"/>
      <c r="F37" s="43"/>
      <c r="G37" s="43"/>
      <c r="H37" s="43"/>
      <c r="I37" s="43"/>
    </row>
    <row r="38" customFormat="false" ht="15" hidden="false" customHeight="false" outlineLevel="0" collapsed="false">
      <c r="A38" s="48" t="s">
        <v>175</v>
      </c>
      <c r="B38" s="48"/>
      <c r="C38" s="48"/>
      <c r="D38" s="48"/>
      <c r="E38" s="48"/>
      <c r="F38" s="48"/>
      <c r="G38" s="48"/>
      <c r="H38" s="48"/>
      <c r="I38" s="48"/>
    </row>
    <row r="39" customFormat="false" ht="15" hidden="false" customHeight="false" outlineLevel="0" collapsed="false">
      <c r="A39" s="48" t="s">
        <v>176</v>
      </c>
      <c r="B39" s="48"/>
      <c r="C39" s="48"/>
      <c r="D39" s="48"/>
      <c r="E39" s="48"/>
      <c r="F39" s="48"/>
      <c r="G39" s="48"/>
      <c r="H39" s="48"/>
      <c r="I39" s="48"/>
    </row>
    <row r="40" customFormat="false" ht="15" hidden="false" customHeight="false" outlineLevel="0" collapsed="false">
      <c r="A40" s="48" t="s">
        <v>177</v>
      </c>
      <c r="B40" s="48"/>
      <c r="C40" s="48"/>
      <c r="D40" s="48"/>
      <c r="E40" s="48"/>
      <c r="F40" s="48"/>
      <c r="G40" s="48"/>
      <c r="H40" s="48"/>
      <c r="I40" s="48"/>
    </row>
    <row r="41" customFormat="false" ht="15" hidden="false" customHeight="false" outlineLevel="0" collapsed="false">
      <c r="A41" s="48" t="s">
        <v>178</v>
      </c>
      <c r="B41" s="48"/>
      <c r="C41" s="48"/>
      <c r="D41" s="48"/>
      <c r="E41" s="48"/>
      <c r="F41" s="48"/>
      <c r="G41" s="48"/>
      <c r="H41" s="48"/>
      <c r="I41" s="48"/>
    </row>
    <row r="42" customFormat="false" ht="15" hidden="false" customHeight="false" outlineLevel="0" collapsed="false">
      <c r="A42" s="48" t="s">
        <v>179</v>
      </c>
      <c r="B42" s="48"/>
      <c r="C42" s="48"/>
      <c r="D42" s="48"/>
      <c r="E42" s="48"/>
      <c r="F42" s="48"/>
      <c r="G42" s="48"/>
      <c r="H42" s="48"/>
      <c r="I42" s="48"/>
    </row>
    <row r="43" customFormat="false" ht="15" hidden="false" customHeight="false" outlineLevel="0" collapsed="false">
      <c r="A43" s="48" t="s">
        <v>180</v>
      </c>
      <c r="B43" s="48"/>
      <c r="C43" s="48"/>
      <c r="D43" s="48"/>
      <c r="E43" s="48"/>
      <c r="F43" s="48"/>
      <c r="G43" s="48"/>
      <c r="H43" s="48"/>
      <c r="I43" s="48"/>
    </row>
    <row r="44" customFormat="false" ht="15" hidden="false" customHeight="false" outlineLevel="0" collapsed="false">
      <c r="A44" s="48" t="s">
        <v>181</v>
      </c>
      <c r="B44" s="48"/>
      <c r="C44" s="48"/>
      <c r="D44" s="48"/>
      <c r="E44" s="48"/>
      <c r="F44" s="48"/>
      <c r="G44" s="48"/>
      <c r="H44" s="48"/>
      <c r="I44" s="48"/>
    </row>
    <row r="45" customFormat="false" ht="15" hidden="false" customHeight="false" outlineLevel="0" collapsed="false">
      <c r="A45" s="48" t="s">
        <v>182</v>
      </c>
      <c r="B45" s="48"/>
      <c r="C45" s="48"/>
      <c r="D45" s="48"/>
      <c r="E45" s="48"/>
      <c r="F45" s="48"/>
      <c r="G45" s="48"/>
      <c r="H45" s="48"/>
      <c r="I45" s="48"/>
    </row>
  </sheetData>
  <mergeCells count="14">
    <mergeCell ref="A1:I1"/>
    <mergeCell ref="A2:I2"/>
    <mergeCell ref="A23:I23"/>
    <mergeCell ref="A25:I25"/>
    <mergeCell ref="A35:I35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49" t="s">
        <v>183</v>
      </c>
    </row>
    <row r="2" customFormat="false" ht="15" hidden="false" customHeight="true" outlineLevel="0" collapsed="false">
      <c r="A2" s="50"/>
    </row>
    <row r="3" customFormat="false" ht="15" hidden="false" customHeight="true" outlineLevel="0" collapsed="false">
      <c r="A3" s="50" t="s">
        <v>184</v>
      </c>
    </row>
    <row r="4" customFormat="false" ht="15" hidden="false" customHeight="true" outlineLevel="0" collapsed="false">
      <c r="A4" s="50" t="s">
        <v>185</v>
      </c>
    </row>
    <row r="5" customFormat="false" ht="15" hidden="false" customHeight="true" outlineLevel="0" collapsed="false">
      <c r="A5" s="50" t="s">
        <v>186</v>
      </c>
    </row>
    <row r="6" customFormat="false" ht="15" hidden="false" customHeight="true" outlineLevel="0" collapsed="false">
      <c r="A6" s="50" t="s">
        <v>187</v>
      </c>
    </row>
    <row r="7" customFormat="false" ht="15" hidden="false" customHeight="true" outlineLevel="0" collapsed="false">
      <c r="A7" s="50"/>
    </row>
    <row r="8" customFormat="false" ht="15" hidden="false" customHeight="true" outlineLevel="0" collapsed="false">
      <c r="A8" s="50" t="s">
        <v>188</v>
      </c>
    </row>
    <row r="9" customFormat="false" ht="15" hidden="false" customHeight="true" outlineLevel="0" collapsed="false">
      <c r="A9" s="50" t="s">
        <v>189</v>
      </c>
    </row>
    <row r="10" customFormat="false" ht="15" hidden="false" customHeight="true" outlineLevel="0" collapsed="false">
      <c r="A10" s="50" t="s">
        <v>190</v>
      </c>
    </row>
    <row r="11" customFormat="false" ht="15" hidden="false" customHeight="true" outlineLevel="0" collapsed="false">
      <c r="A11" s="50" t="s">
        <v>191</v>
      </c>
    </row>
    <row r="12" customFormat="false" ht="15" hidden="false" customHeight="true" outlineLevel="0" collapsed="false">
      <c r="A12" s="50"/>
    </row>
    <row r="13" customFormat="false" ht="15" hidden="false" customHeight="true" outlineLevel="0" collapsed="false">
      <c r="A13" s="50" t="s">
        <v>192</v>
      </c>
    </row>
    <row r="14" customFormat="false" ht="15" hidden="false" customHeight="true" outlineLevel="0" collapsed="false">
      <c r="A14" s="50" t="s">
        <v>193</v>
      </c>
    </row>
    <row r="15" customFormat="false" ht="15" hidden="false" customHeight="true" outlineLevel="0" collapsed="false">
      <c r="A15" s="50" t="s">
        <v>194</v>
      </c>
    </row>
    <row r="16" customFormat="false" ht="15" hidden="false" customHeight="true" outlineLevel="0" collapsed="false">
      <c r="A16" s="50" t="s">
        <v>195</v>
      </c>
    </row>
    <row r="17" customFormat="false" ht="15" hidden="false" customHeight="true" outlineLevel="0" collapsed="false">
      <c r="A17" s="50" t="s">
        <v>196</v>
      </c>
    </row>
    <row r="18" customFormat="false" ht="15" hidden="false" customHeight="true" outlineLevel="0" collapsed="false">
      <c r="A18" s="50" t="s">
        <v>197</v>
      </c>
    </row>
    <row r="19" customFormat="false" ht="15" hidden="false" customHeight="true" outlineLevel="0" collapsed="false">
      <c r="A19" s="50" t="s">
        <v>198</v>
      </c>
    </row>
    <row r="20" customFormat="false" ht="15" hidden="false" customHeight="true" outlineLevel="0" collapsed="false">
      <c r="A20" s="50"/>
    </row>
    <row r="21" customFormat="false" ht="15" hidden="false" customHeight="true" outlineLevel="0" collapsed="false">
      <c r="A21" s="50" t="s">
        <v>199</v>
      </c>
    </row>
    <row r="22" customFormat="false" ht="15" hidden="false" customHeight="true" outlineLevel="0" collapsed="false">
      <c r="A22" s="50" t="s">
        <v>200</v>
      </c>
    </row>
    <row r="23" customFormat="false" ht="15" hidden="false" customHeight="true" outlineLevel="0" collapsed="false">
      <c r="A23" s="50" t="s">
        <v>201</v>
      </c>
    </row>
    <row r="24" customFormat="false" ht="15" hidden="false" customHeight="true" outlineLevel="0" collapsed="false">
      <c r="A24" s="50" t="s">
        <v>202</v>
      </c>
    </row>
    <row r="25" customFormat="false" ht="15" hidden="false" customHeight="true" outlineLevel="0" collapsed="false">
      <c r="A25" s="50"/>
    </row>
    <row r="26" customFormat="false" ht="15" hidden="false" customHeight="true" outlineLevel="0" collapsed="false">
      <c r="A26" s="50" t="s">
        <v>203</v>
      </c>
    </row>
    <row r="27" customFormat="false" ht="15" hidden="false" customHeight="true" outlineLevel="0" collapsed="false">
      <c r="A27" s="50" t="s">
        <v>204</v>
      </c>
    </row>
    <row r="28" customFormat="false" ht="15" hidden="false" customHeight="false" outlineLevel="0" collapsed="false">
      <c r="A28" s="51"/>
    </row>
    <row r="29" customFormat="false" ht="15" hidden="false" customHeight="false" outlineLevel="0" collapsed="false">
      <c r="A29" s="51" t="s">
        <v>205</v>
      </c>
    </row>
    <row r="30" customFormat="false" ht="15" hidden="false" customHeight="false" outlineLevel="0" collapsed="false">
      <c r="A30" s="51" t="s">
        <v>206</v>
      </c>
    </row>
    <row r="31" customFormat="false" ht="15" hidden="false" customHeight="false" outlineLevel="0" collapsed="false">
      <c r="A31" s="51" t="s">
        <v>207</v>
      </c>
    </row>
    <row r="32" customFormat="false" ht="15" hidden="false" customHeight="false" outlineLevel="0" collapsed="false">
      <c r="A32" s="51" t="s">
        <v>208</v>
      </c>
    </row>
    <row r="33" customFormat="false" ht="15" hidden="false" customHeight="false" outlineLevel="0" collapsed="false">
      <c r="A33" s="51" t="s">
        <v>209</v>
      </c>
    </row>
    <row r="34" customFormat="false" ht="15" hidden="false" customHeight="false" outlineLevel="0" collapsed="false">
      <c r="A34" s="51"/>
    </row>
    <row r="35" customFormat="false" ht="15" hidden="false" customHeight="false" outlineLevel="0" collapsed="false">
      <c r="A35" s="51" t="s">
        <v>210</v>
      </c>
    </row>
    <row r="36" customFormat="false" ht="15" hidden="false" customHeight="false" outlineLevel="0" collapsed="false">
      <c r="A36" s="51" t="s">
        <v>211</v>
      </c>
    </row>
    <row r="37" customFormat="false" ht="15" hidden="false" customHeight="false" outlineLevel="0" collapsed="false">
      <c r="A37" s="51" t="s">
        <v>212</v>
      </c>
    </row>
    <row r="38" customFormat="false" ht="15" hidden="false" customHeight="false" outlineLevel="0" collapsed="false">
      <c r="A38" s="51" t="s">
        <v>213</v>
      </c>
    </row>
    <row r="39" customFormat="false" ht="15" hidden="false" customHeight="false" outlineLevel="0" collapsed="false">
      <c r="A39" s="51"/>
    </row>
    <row r="40" customFormat="false" ht="15" hidden="false" customHeight="false" outlineLevel="0" collapsed="false">
      <c r="A40" s="51" t="s">
        <v>214</v>
      </c>
    </row>
    <row r="41" customFormat="false" ht="15" hidden="false" customHeight="false" outlineLevel="0" collapsed="false">
      <c r="A41" s="51" t="s">
        <v>215</v>
      </c>
    </row>
    <row r="42" customFormat="false" ht="15" hidden="false" customHeight="false" outlineLevel="0" collapsed="false">
      <c r="A42" s="51" t="s">
        <v>216</v>
      </c>
    </row>
    <row r="43" customFormat="false" ht="15" hidden="false" customHeight="false" outlineLevel="0" collapsed="false">
      <c r="A43" s="51" t="s">
        <v>217</v>
      </c>
    </row>
    <row r="44" customFormat="false" ht="15" hidden="false" customHeight="false" outlineLevel="0" collapsed="false">
      <c r="A44" s="51"/>
    </row>
    <row r="45" customFormat="false" ht="15" hidden="false" customHeight="false" outlineLevel="0" collapsed="false">
      <c r="A45" s="51" t="s">
        <v>218</v>
      </c>
    </row>
    <row r="46" customFormat="false" ht="15" hidden="false" customHeight="false" outlineLevel="0" collapsed="false">
      <c r="A46" s="51" t="s">
        <v>219</v>
      </c>
    </row>
    <row r="47" customFormat="false" ht="15" hidden="false" customHeight="false" outlineLevel="0" collapsed="false">
      <c r="A47" s="51" t="s">
        <v>220</v>
      </c>
    </row>
    <row r="48" customFormat="false" ht="15" hidden="false" customHeight="false" outlineLevel="0" collapsed="false">
      <c r="A48" s="51" t="s">
        <v>221</v>
      </c>
    </row>
    <row r="49" customFormat="false" ht="15" hidden="false" customHeight="false" outlineLevel="0" collapsed="false">
      <c r="A49" s="51" t="s">
        <v>222</v>
      </c>
    </row>
    <row r="50" customFormat="false" ht="15" hidden="false" customHeight="false" outlineLevel="0" collapsed="false">
      <c r="A50" s="51" t="s">
        <v>223</v>
      </c>
    </row>
    <row r="51" customFormat="false" ht="15" hidden="false" customHeight="false" outlineLevel="0" collapsed="false">
      <c r="A51" s="51" t="s">
        <v>224</v>
      </c>
    </row>
    <row r="52" customFormat="false" ht="15" hidden="false" customHeight="false" outlineLevel="0" collapsed="false">
      <c r="A52" s="51"/>
    </row>
    <row r="53" customFormat="false" ht="15" hidden="false" customHeight="false" outlineLevel="0" collapsed="false">
      <c r="A53" s="51" t="s">
        <v>225</v>
      </c>
    </row>
    <row r="54" customFormat="false" ht="15" hidden="false" customHeight="false" outlineLevel="0" collapsed="false">
      <c r="A54" s="51" t="s">
        <v>226</v>
      </c>
    </row>
    <row r="55" customFormat="false" ht="15" hidden="false" customHeight="false" outlineLevel="0" collapsed="false">
      <c r="A55" s="51" t="s">
        <v>227</v>
      </c>
    </row>
    <row r="56" customFormat="false" ht="15" hidden="false" customHeight="false" outlineLevel="0" collapsed="false">
      <c r="A56" s="51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2026-07-23T21:53:45Z</dcterms:created>
  <dc:creator>openpyxl</dc:creator>
  <dc:description/>
  <dc:language>en-US</dc:language>
  <cp:lastModifiedBy/>
  <dcterms:modified xsi:type="dcterms:W3CDTF">2026-07-23T22:26:37Z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