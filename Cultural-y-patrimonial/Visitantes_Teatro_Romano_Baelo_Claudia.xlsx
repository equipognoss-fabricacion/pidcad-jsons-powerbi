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tantes Monu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1"/>
    </font>
    <font>
      <b val="1"/>
      <color rgb="00FFFFFF"/>
      <sz val="11"/>
    </font>
    <font>
      <b val="1"/>
      <color rgb="00FFFFFF"/>
    </font>
    <font>
      <b val="1"/>
      <sz val="10"/>
    </font>
    <font>
      <sz val="9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5090"/>
        <bgColor rgb="002E5090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0" fontId="4" fillId="4" borderId="1" pivotButton="0" quotePrefix="0" xfId="0"/>
    <xf numFmtId="3" fontId="4" fillId="4" borderId="1" applyAlignment="1" pivotButton="0" quotePrefix="0" xfId="0">
      <alignment horizontal="right"/>
    </xf>
    <xf numFmtId="0" fontId="4" fillId="5" borderId="0" pivotButton="0" quotePrefix="0" xfId="0"/>
    <xf numFmtId="3" fontId="4" fillId="5" borderId="1" applyAlignment="1" pivotButton="0" quotePrefix="0" xfId="0">
      <alignment horizontal="right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  <col width="28" customWidth="1" min="4" max="4"/>
  </cols>
  <sheetData>
    <row r="1" ht="25" customHeight="1">
      <c r="A1" s="1" t="inlineStr">
        <is>
          <t>VISITANTES A MONUMENTOS ARQUEOLÓGICOS - CÁDIZ (2022-2025)</t>
        </is>
      </c>
    </row>
    <row r="2">
      <c r="A2" s="2" t="inlineStr">
        <is>
          <t>Teatro Romano de Cádiz y Baelo Claudia (Tarifa)</t>
        </is>
      </c>
    </row>
    <row r="4" ht="25" customHeight="1">
      <c r="A4" s="3" t="inlineStr">
        <is>
          <t>Año</t>
        </is>
      </c>
      <c r="B4" s="3" t="inlineStr">
        <is>
          <t>Mes</t>
        </is>
      </c>
      <c r="C4" s="3" t="inlineStr">
        <is>
          <t>Visitantes Teatro Romano</t>
        </is>
      </c>
      <c r="D4" s="3" t="inlineStr">
        <is>
          <t>Visitantes Baelo Claudia</t>
        </is>
      </c>
    </row>
    <row r="5">
      <c r="A5" s="4" t="n">
        <v>2022</v>
      </c>
      <c r="B5" s="5" t="n">
        <v>1</v>
      </c>
      <c r="C5" s="6" t="n">
        <v>7583</v>
      </c>
      <c r="D5" s="6" t="n">
        <v>5145</v>
      </c>
    </row>
    <row r="6">
      <c r="A6" s="4" t="n">
        <v>2022</v>
      </c>
      <c r="B6" s="5" t="n">
        <v>2</v>
      </c>
      <c r="C6" s="6" t="n">
        <v>7583</v>
      </c>
      <c r="D6" s="6" t="n">
        <v>5145</v>
      </c>
    </row>
    <row r="7">
      <c r="A7" s="4" t="n">
        <v>2022</v>
      </c>
      <c r="B7" s="5" t="n">
        <v>3</v>
      </c>
      <c r="C7" s="6" t="n">
        <v>9916</v>
      </c>
      <c r="D7" s="6" t="n">
        <v>6729</v>
      </c>
    </row>
    <row r="8">
      <c r="A8" s="4" t="n">
        <v>2022</v>
      </c>
      <c r="B8" s="5" t="n">
        <v>4</v>
      </c>
      <c r="C8" s="6" t="n">
        <v>11083</v>
      </c>
      <c r="D8" s="6" t="n">
        <v>7520</v>
      </c>
    </row>
    <row r="9">
      <c r="A9" s="4" t="n">
        <v>2022</v>
      </c>
      <c r="B9" s="5" t="n">
        <v>5</v>
      </c>
      <c r="C9" s="6" t="n">
        <v>12833</v>
      </c>
      <c r="D9" s="6" t="n">
        <v>8708</v>
      </c>
    </row>
    <row r="10">
      <c r="A10" s="4" t="n">
        <v>2022</v>
      </c>
      <c r="B10" s="5" t="n">
        <v>6</v>
      </c>
      <c r="C10" s="6" t="n">
        <v>16333</v>
      </c>
      <c r="D10" s="6" t="n">
        <v>11083</v>
      </c>
    </row>
    <row r="11">
      <c r="A11" s="4" t="n">
        <v>2022</v>
      </c>
      <c r="B11" s="5" t="n">
        <v>7</v>
      </c>
      <c r="C11" s="6" t="n">
        <v>17500</v>
      </c>
      <c r="D11" s="6" t="n">
        <v>11875</v>
      </c>
    </row>
    <row r="12">
      <c r="A12" s="4" t="n">
        <v>2022</v>
      </c>
      <c r="B12" s="5" t="n">
        <v>8</v>
      </c>
      <c r="C12" s="6" t="n">
        <v>16916</v>
      </c>
      <c r="D12" s="6" t="n">
        <v>11479</v>
      </c>
    </row>
    <row r="13">
      <c r="A13" s="4" t="n">
        <v>2022</v>
      </c>
      <c r="B13" s="5" t="n">
        <v>9</v>
      </c>
      <c r="C13" s="6" t="n">
        <v>12250</v>
      </c>
      <c r="D13" s="6" t="n">
        <v>8312</v>
      </c>
    </row>
    <row r="14">
      <c r="A14" s="4" t="n">
        <v>2022</v>
      </c>
      <c r="B14" s="5" t="n">
        <v>10</v>
      </c>
      <c r="C14" s="6" t="n">
        <v>11083</v>
      </c>
      <c r="D14" s="6" t="n">
        <v>7520</v>
      </c>
    </row>
    <row r="15">
      <c r="A15" s="4" t="n">
        <v>2022</v>
      </c>
      <c r="B15" s="5" t="n">
        <v>11</v>
      </c>
      <c r="C15" s="6" t="n">
        <v>8750</v>
      </c>
      <c r="D15" s="6" t="n">
        <v>5937</v>
      </c>
    </row>
    <row r="16">
      <c r="A16" s="4" t="n">
        <v>2022</v>
      </c>
      <c r="B16" s="5" t="n">
        <v>12</v>
      </c>
      <c r="C16" s="6" t="n">
        <v>8166</v>
      </c>
      <c r="D16" s="6" t="n">
        <v>5541</v>
      </c>
    </row>
    <row r="17">
      <c r="A17" s="4" t="n">
        <v>2023</v>
      </c>
      <c r="B17" s="5" t="n">
        <v>1</v>
      </c>
      <c r="C17" s="6" t="n">
        <v>8802</v>
      </c>
      <c r="D17" s="6" t="n">
        <v>5958</v>
      </c>
    </row>
    <row r="18">
      <c r="A18" s="4" t="n">
        <v>2023</v>
      </c>
      <c r="B18" s="5" t="n">
        <v>2</v>
      </c>
      <c r="C18" s="6" t="n">
        <v>8802</v>
      </c>
      <c r="D18" s="6" t="n">
        <v>5958</v>
      </c>
    </row>
    <row r="19">
      <c r="A19" s="4" t="n">
        <v>2023</v>
      </c>
      <c r="B19" s="5" t="n">
        <v>3</v>
      </c>
      <c r="C19" s="6" t="n">
        <v>11510</v>
      </c>
      <c r="D19" s="6" t="n">
        <v>7791</v>
      </c>
    </row>
    <row r="20">
      <c r="A20" s="4" t="n">
        <v>2023</v>
      </c>
      <c r="B20" s="5" t="n">
        <v>4</v>
      </c>
      <c r="C20" s="6" t="n">
        <v>12864</v>
      </c>
      <c r="D20" s="6" t="n">
        <v>8708</v>
      </c>
    </row>
    <row r="21">
      <c r="A21" s="4" t="n">
        <v>2023</v>
      </c>
      <c r="B21" s="5" t="n">
        <v>5</v>
      </c>
      <c r="C21" s="6" t="n">
        <v>14895</v>
      </c>
      <c r="D21" s="6" t="n">
        <v>10083</v>
      </c>
    </row>
    <row r="22">
      <c r="A22" s="4" t="n">
        <v>2023</v>
      </c>
      <c r="B22" s="5" t="n">
        <v>6</v>
      </c>
      <c r="C22" s="6" t="n">
        <v>18958</v>
      </c>
      <c r="D22" s="6" t="n">
        <v>12833</v>
      </c>
    </row>
    <row r="23">
      <c r="A23" s="4" t="n">
        <v>2023</v>
      </c>
      <c r="B23" s="5" t="n">
        <v>7</v>
      </c>
      <c r="C23" s="6" t="n">
        <v>20312</v>
      </c>
      <c r="D23" s="6" t="n">
        <v>13750</v>
      </c>
    </row>
    <row r="24">
      <c r="A24" s="4" t="n">
        <v>2023</v>
      </c>
      <c r="B24" s="5" t="n">
        <v>8</v>
      </c>
      <c r="C24" s="6" t="n">
        <v>19635</v>
      </c>
      <c r="D24" s="6" t="n">
        <v>13291</v>
      </c>
    </row>
    <row r="25">
      <c r="A25" s="4" t="n">
        <v>2023</v>
      </c>
      <c r="B25" s="5" t="n">
        <v>9</v>
      </c>
      <c r="C25" s="6" t="n">
        <v>14218</v>
      </c>
      <c r="D25" s="6" t="n">
        <v>9625</v>
      </c>
    </row>
    <row r="26">
      <c r="A26" s="4" t="n">
        <v>2023</v>
      </c>
      <c r="B26" s="5" t="n">
        <v>10</v>
      </c>
      <c r="C26" s="6" t="n">
        <v>12864</v>
      </c>
      <c r="D26" s="6" t="n">
        <v>8708</v>
      </c>
    </row>
    <row r="27">
      <c r="A27" s="4" t="n">
        <v>2023</v>
      </c>
      <c r="B27" s="5" t="n">
        <v>11</v>
      </c>
      <c r="C27" s="6" t="n">
        <v>10156</v>
      </c>
      <c r="D27" s="6" t="n">
        <v>6875</v>
      </c>
    </row>
    <row r="28">
      <c r="A28" s="4" t="n">
        <v>2023</v>
      </c>
      <c r="B28" s="5" t="n">
        <v>12</v>
      </c>
      <c r="C28" s="6" t="n">
        <v>9479</v>
      </c>
      <c r="D28" s="6" t="n">
        <v>6416</v>
      </c>
    </row>
    <row r="29">
      <c r="A29" s="4" t="n">
        <v>2024</v>
      </c>
      <c r="B29" s="5" t="n">
        <v>1</v>
      </c>
      <c r="C29" s="6" t="n">
        <v>11356</v>
      </c>
      <c r="D29" s="6" t="n">
        <v>7457</v>
      </c>
    </row>
    <row r="30">
      <c r="A30" s="4" t="n">
        <v>2024</v>
      </c>
      <c r="B30" s="5" t="n">
        <v>2</v>
      </c>
      <c r="C30" s="6" t="n">
        <v>11356</v>
      </c>
      <c r="D30" s="6" t="n">
        <v>7457</v>
      </c>
    </row>
    <row r="31">
      <c r="A31" s="4" t="n">
        <v>2024</v>
      </c>
      <c r="B31" s="5" t="n">
        <v>3</v>
      </c>
      <c r="C31" s="6" t="n">
        <v>14850</v>
      </c>
      <c r="D31" s="6" t="n">
        <v>9752</v>
      </c>
    </row>
    <row r="32">
      <c r="A32" s="4" t="n">
        <v>2024</v>
      </c>
      <c r="B32" s="5" t="n">
        <v>4</v>
      </c>
      <c r="C32" s="6" t="n">
        <v>16597</v>
      </c>
      <c r="D32" s="6" t="n">
        <v>10899</v>
      </c>
    </row>
    <row r="33">
      <c r="A33" s="4" t="n">
        <v>2024</v>
      </c>
      <c r="B33" s="5" t="n">
        <v>5</v>
      </c>
      <c r="C33" s="6" t="n">
        <v>19218</v>
      </c>
      <c r="D33" s="6" t="n">
        <v>12620</v>
      </c>
    </row>
    <row r="34">
      <c r="A34" s="4" t="n">
        <v>2024</v>
      </c>
      <c r="B34" s="5" t="n">
        <v>6</v>
      </c>
      <c r="C34" s="6" t="n">
        <v>24459</v>
      </c>
      <c r="D34" s="6" t="n">
        <v>16063</v>
      </c>
    </row>
    <row r="35">
      <c r="A35" s="4" t="n">
        <v>2024</v>
      </c>
      <c r="B35" s="5" t="n">
        <v>7</v>
      </c>
      <c r="C35" s="6" t="n">
        <v>26206</v>
      </c>
      <c r="D35" s="6" t="n">
        <v>17210</v>
      </c>
    </row>
    <row r="36">
      <c r="A36" s="4" t="n">
        <v>2024</v>
      </c>
      <c r="B36" s="5" t="n">
        <v>8</v>
      </c>
      <c r="C36" s="6" t="n">
        <v>25332</v>
      </c>
      <c r="D36" s="6" t="n">
        <v>16636</v>
      </c>
    </row>
    <row r="37">
      <c r="A37" s="4" t="n">
        <v>2024</v>
      </c>
      <c r="B37" s="5" t="n">
        <v>9</v>
      </c>
      <c r="C37" s="6" t="n">
        <v>18344</v>
      </c>
      <c r="D37" s="6" t="n">
        <v>12047</v>
      </c>
    </row>
    <row r="38">
      <c r="A38" s="4" t="n">
        <v>2024</v>
      </c>
      <c r="B38" s="5" t="n">
        <v>10</v>
      </c>
      <c r="C38" s="6" t="n">
        <v>16597</v>
      </c>
      <c r="D38" s="6" t="n">
        <v>10899</v>
      </c>
    </row>
    <row r="39">
      <c r="A39" s="4" t="n">
        <v>2024</v>
      </c>
      <c r="B39" s="5" t="n">
        <v>11</v>
      </c>
      <c r="C39" s="6" t="n">
        <v>13103</v>
      </c>
      <c r="D39" s="6" t="n">
        <v>8605</v>
      </c>
    </row>
    <row r="40">
      <c r="A40" s="4" t="n">
        <v>2024</v>
      </c>
      <c r="B40" s="5" t="n">
        <v>12</v>
      </c>
      <c r="C40" s="6" t="n">
        <v>12229</v>
      </c>
      <c r="D40" s="6" t="n">
        <v>8031</v>
      </c>
    </row>
    <row r="41">
      <c r="A41" s="4" t="n">
        <v>2025</v>
      </c>
      <c r="B41" s="5" t="n">
        <v>1</v>
      </c>
      <c r="C41" s="6" t="n">
        <v>11943</v>
      </c>
      <c r="D41" s="6" t="n">
        <v>7843</v>
      </c>
    </row>
    <row r="42">
      <c r="A42" s="4" t="n">
        <v>2025</v>
      </c>
      <c r="B42" s="5" t="n">
        <v>2</v>
      </c>
      <c r="C42" s="6" t="n">
        <v>11943</v>
      </c>
      <c r="D42" s="6" t="n">
        <v>7843</v>
      </c>
    </row>
    <row r="43">
      <c r="A43" s="4" t="n">
        <v>2025</v>
      </c>
      <c r="B43" s="5" t="n">
        <v>3</v>
      </c>
      <c r="C43" s="6" t="n">
        <v>15618</v>
      </c>
      <c r="D43" s="6" t="n">
        <v>10256</v>
      </c>
    </row>
    <row r="44">
      <c r="A44" s="4" t="n">
        <v>2025</v>
      </c>
      <c r="B44" s="5" t="n">
        <v>4</v>
      </c>
      <c r="C44" s="6" t="n">
        <v>17456</v>
      </c>
      <c r="D44" s="6" t="n">
        <v>11463</v>
      </c>
    </row>
    <row r="45">
      <c r="A45" s="4" t="n">
        <v>2025</v>
      </c>
      <c r="B45" s="5" t="n">
        <v>5</v>
      </c>
      <c r="C45" s="6" t="n">
        <v>20212</v>
      </c>
      <c r="D45" s="6" t="n">
        <v>13273</v>
      </c>
    </row>
    <row r="46">
      <c r="A46" s="4" t="n">
        <v>2025</v>
      </c>
      <c r="B46" s="5" t="n">
        <v>6</v>
      </c>
      <c r="C46" s="6" t="n">
        <v>25725</v>
      </c>
      <c r="D46" s="6" t="n">
        <v>16893</v>
      </c>
    </row>
    <row r="47">
      <c r="A47" s="4" t="n">
        <v>2025</v>
      </c>
      <c r="B47" s="5" t="n">
        <v>7</v>
      </c>
      <c r="C47" s="6" t="n">
        <v>27562</v>
      </c>
      <c r="D47" s="6" t="n">
        <v>18100</v>
      </c>
    </row>
    <row r="48">
      <c r="A48" s="4" t="n">
        <v>2025</v>
      </c>
      <c r="B48" s="5" t="n">
        <v>8</v>
      </c>
      <c r="C48" s="6" t="n">
        <v>26643</v>
      </c>
      <c r="D48" s="6" t="n">
        <v>17496</v>
      </c>
    </row>
    <row r="49">
      <c r="A49" s="4" t="n">
        <v>2025</v>
      </c>
      <c r="B49" s="5" t="n">
        <v>9</v>
      </c>
      <c r="C49" s="6" t="n">
        <v>19293</v>
      </c>
      <c r="D49" s="6" t="n">
        <v>12670</v>
      </c>
    </row>
    <row r="50">
      <c r="A50" s="4" t="n">
        <v>2025</v>
      </c>
      <c r="B50" s="5" t="n">
        <v>10</v>
      </c>
      <c r="C50" s="6" t="n">
        <v>17456</v>
      </c>
      <c r="D50" s="6" t="n">
        <v>11463</v>
      </c>
    </row>
    <row r="51">
      <c r="A51" s="4" t="n">
        <v>2025</v>
      </c>
      <c r="B51" s="5" t="n">
        <v>11</v>
      </c>
      <c r="C51" s="6" t="n">
        <v>13781</v>
      </c>
      <c r="D51" s="6" t="n">
        <v>9050</v>
      </c>
    </row>
    <row r="52">
      <c r="A52" s="4" t="n">
        <v>2025</v>
      </c>
      <c r="B52" s="5" t="n">
        <v>12</v>
      </c>
      <c r="C52" s="6" t="n">
        <v>12862</v>
      </c>
      <c r="D52" s="6" t="n">
        <v>8446</v>
      </c>
    </row>
    <row r="53">
      <c r="A53" s="7" t="inlineStr">
        <is>
          <t>2022 TOTAL</t>
        </is>
      </c>
      <c r="C53" s="8">
        <f>SUM(C5:C16)</f>
        <v/>
      </c>
      <c r="D53" s="8">
        <f>SUM(D5:D16)</f>
        <v/>
      </c>
    </row>
    <row r="54">
      <c r="A54" s="7" t="inlineStr">
        <is>
          <t>2023 TOTAL</t>
        </is>
      </c>
      <c r="C54" s="8">
        <f>SUM(C17:C28)</f>
        <v/>
      </c>
      <c r="D54" s="8">
        <f>SUM(D17:D28)</f>
        <v/>
      </c>
    </row>
    <row r="55">
      <c r="A55" s="7" t="inlineStr">
        <is>
          <t>2024 TOTAL</t>
        </is>
      </c>
      <c r="C55" s="8">
        <f>SUM(C29:C40)</f>
        <v/>
      </c>
      <c r="D55" s="8">
        <f>SUM(D29:D40)</f>
        <v/>
      </c>
    </row>
    <row r="56">
      <c r="A56" s="7" t="inlineStr">
        <is>
          <t>2025 TOTAL</t>
        </is>
      </c>
      <c r="C56" s="8">
        <f>SUM(C41:C52)</f>
        <v/>
      </c>
      <c r="D56" s="8">
        <f>SUM(D41:D52)</f>
        <v/>
      </c>
    </row>
    <row r="58">
      <c r="A58" s="9" t="inlineStr">
        <is>
          <t>PROMEDIO MENSUAL</t>
        </is>
      </c>
      <c r="C58" s="10">
        <f>AVERAGE(C5:C53)</f>
        <v/>
      </c>
      <c r="D58" s="10">
        <f>AVERAGE(D5:D53)</f>
        <v/>
      </c>
    </row>
    <row r="61">
      <c r="A61" s="11" t="inlineStr">
        <is>
          <t>NOTAS:</t>
        </is>
      </c>
    </row>
    <row r="62">
      <c r="A62" s="12" t="inlineStr">
        <is>
          <t>• Teatro Romano: ubicado en Cádiz capital. Dato 2024: 209.651 visitantes (crecimiento +28,9% vs 2023)</t>
        </is>
      </c>
    </row>
    <row r="63">
      <c r="A63" s="12" t="inlineStr">
        <is>
          <t>• Baelo Claudia: yacimiento arqueológico en Tarifa. Dato 2024: 137.683 visitantes</t>
        </is>
      </c>
    </row>
    <row r="64">
      <c r="A64" s="13" t="inlineStr">
        <is>
          <t>• Datos 2022-2023 y 2025 son estimaciones basadas en tendencias de crecimiento turístico en Cádiz</t>
        </is>
      </c>
    </row>
    <row r="65">
      <c r="A65" s="13" t="inlineStr">
        <is>
          <t>• Estacionalidad aplicada: mayor afluencia verano (junio-agosto), menor en invierno (diciembre-febrero)</t>
        </is>
      </c>
    </row>
  </sheetData>
  <mergeCells count="6">
    <mergeCell ref="A1:D1"/>
    <mergeCell ref="A62:D62"/>
    <mergeCell ref="A64:D64"/>
    <mergeCell ref="A65:D65"/>
    <mergeCell ref="A2:D2"/>
    <mergeCell ref="A63:D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2026-06-16T15:38:28Z</dcterms:created>
  <dcterms:modified xmlns:dcterms="http://purl.org/dc/terms/" xmlns:xsi="http://www.w3.org/2001/XMLSchema-instance" xsi:type="dcterms:W3CDTF">2026-06-16T15:38:28Z</dcterms:modified>
</cp:coreProperties>
</file>