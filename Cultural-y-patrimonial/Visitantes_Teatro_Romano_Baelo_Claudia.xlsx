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iamlab-my.sharepoint.com/personal/estebansota_gnoss_com/Documents/Documentos/GitHub/pidcad-jsons-powerbi/Cultural-y-patrimonial/"/>
    </mc:Choice>
  </mc:AlternateContent>
  <xr:revisionPtr revIDLastSave="3" documentId="11_08A2F0C75278BCEEEB6A28965F5DCE3AF7CFDACE" xr6:coauthVersionLast="47" xr6:coauthVersionMax="47" xr10:uidLastSave="{C4D21EAB-5AEE-48FB-B1FB-3215C29735F2}"/>
  <bookViews>
    <workbookView xWindow="-108" yWindow="-108" windowWidth="23256" windowHeight="12456" xr2:uid="{00000000-000D-0000-FFFF-FFFF00000000}"/>
  </bookViews>
  <sheets>
    <sheet name="Visitantes Monument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C54" i="1"/>
  <c r="D53" i="1"/>
  <c r="C53" i="1"/>
  <c r="D52" i="1"/>
  <c r="C52" i="1"/>
  <c r="D51" i="1"/>
  <c r="D55" i="1" s="1"/>
  <c r="C51" i="1"/>
  <c r="C55" i="1" s="1"/>
</calcChain>
</file>

<file path=xl/sharedStrings.xml><?xml version="1.0" encoding="utf-8"?>
<sst xmlns="http://schemas.openxmlformats.org/spreadsheetml/2006/main" count="10" uniqueCount="10">
  <si>
    <t>VISITANTES A MONUMENTOS ARQUEOLÓGICOS - CÁDIZ (2022-2025)</t>
  </si>
  <si>
    <t>Año</t>
  </si>
  <si>
    <t>Mes</t>
  </si>
  <si>
    <t>Visitantes Teatro Romano</t>
  </si>
  <si>
    <t>Visitantes Baelo Claudia</t>
  </si>
  <si>
    <t>2022 TOTAL</t>
  </si>
  <si>
    <t>2023 TOTAL</t>
  </si>
  <si>
    <t>2024 TOTAL</t>
  </si>
  <si>
    <t>2025 TOTAL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</si>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</sst>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5090"/>
        <bgColor rgb="FF2E5090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0" fontId="3" fillId="4" borderId="1" xfId="0" applyFont="1" applyFill="1" applyBorder="1"/>
    <xf numFmtId="3" fontId="3" fillId="4" borderId="1" xfId="0" applyNumberFormat="1" applyFont="1" applyFill="1" applyBorder="1" applyAlignment="1">
      <alignment horizontal="right"/>
    </xf>
    <xf numFmtId="0" fontId="3" fillId="5" borderId="0" xfId="0" applyFont="1" applyFill="1"/>
    <xf numFmtId="3" fontId="3" fillId="5" borderId="1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tabSelected="1" topLeftCell="A44" workbookViewId="0">
      <selection activeCell="D48" sqref="D48"/>
    </sheetView>
  </sheetViews>
  <sheetFormatPr baseColWidth="10" defaultColWidth="8.88671875" defaultRowHeight="14.4" x14ac:dyDescent="0.3"/>
  <cols>
    <col min="1" max="1" width="12" customWidth="1"/>
    <col min="2" max="2" width="10" customWidth="1"/>
    <col min="3" max="4" width="28" customWidth="1"/>
  </cols>
  <sheetData>
    <row r="1" spans="1:4" ht="25.05" customHeight="1" x14ac:dyDescent="0.3">
      <c r="A1" s="9" t="s">
        <v>0</v>
      </c>
      <c r="B1" s="10"/>
      <c r="C1" s="10"/>
      <c r="D1" s="10"/>
    </row>
    <row r="2" spans="1:4" ht="25.05" customHeight="1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x14ac:dyDescent="0.3">
      <c r="A3" s="2">
        <v>2022</v>
      </c>
      <c r="B3" s="3">
        <v>1</v>
      </c>
      <c r="C3" s="4">
        <v>7583</v>
      </c>
      <c r="D3" s="4">
        <v>5145</v>
      </c>
    </row>
    <row r="4" spans="1:4" x14ac:dyDescent="0.3">
      <c r="A4" s="2">
        <v>2022</v>
      </c>
      <c r="B4" s="3">
        <v>2</v>
      </c>
      <c r="C4" s="4">
        <v>7583</v>
      </c>
      <c r="D4" s="4">
        <v>5145</v>
      </c>
    </row>
    <row r="5" spans="1:4" x14ac:dyDescent="0.3">
      <c r="A5" s="2">
        <v>2022</v>
      </c>
      <c r="B5" s="3">
        <v>3</v>
      </c>
      <c r="C5" s="4">
        <v>9916</v>
      </c>
      <c r="D5" s="4">
        <v>6729</v>
      </c>
    </row>
    <row r="6" spans="1:4" x14ac:dyDescent="0.3">
      <c r="A6" s="2">
        <v>2022</v>
      </c>
      <c r="B6" s="3">
        <v>4</v>
      </c>
      <c r="C6" s="4">
        <v>11083</v>
      </c>
      <c r="D6" s="4">
        <v>7520</v>
      </c>
    </row>
    <row r="7" spans="1:4" x14ac:dyDescent="0.3">
      <c r="A7" s="2">
        <v>2022</v>
      </c>
      <c r="B7" s="3">
        <v>5</v>
      </c>
      <c r="C7" s="4">
        <v>12833</v>
      </c>
      <c r="D7" s="4">
        <v>8708</v>
      </c>
    </row>
    <row r="8" spans="1:4" x14ac:dyDescent="0.3">
      <c r="A8" s="2">
        <v>2022</v>
      </c>
      <c r="B8" s="3">
        <v>6</v>
      </c>
      <c r="C8" s="4">
        <v>16333</v>
      </c>
      <c r="D8" s="4">
        <v>11083</v>
      </c>
    </row>
    <row r="9" spans="1:4" x14ac:dyDescent="0.3">
      <c r="A9" s="2">
        <v>2022</v>
      </c>
      <c r="B9" s="3">
        <v>7</v>
      </c>
      <c r="C9" s="4">
        <v>17500</v>
      </c>
      <c r="D9" s="4">
        <v>11875</v>
      </c>
    </row>
    <row r="10" spans="1:4" x14ac:dyDescent="0.3">
      <c r="A10" s="2">
        <v>2022</v>
      </c>
      <c r="B10" s="3">
        <v>8</v>
      </c>
      <c r="C10" s="4">
        <v>16916</v>
      </c>
      <c r="D10" s="4">
        <v>11479</v>
      </c>
    </row>
    <row r="11" spans="1:4" x14ac:dyDescent="0.3">
      <c r="A11" s="2">
        <v>2022</v>
      </c>
      <c r="B11" s="3">
        <v>9</v>
      </c>
      <c r="C11" s="4">
        <v>12250</v>
      </c>
      <c r="D11" s="4">
        <v>8312</v>
      </c>
    </row>
    <row r="12" spans="1:4" x14ac:dyDescent="0.3">
      <c r="A12" s="2">
        <v>2022</v>
      </c>
      <c r="B12" s="3">
        <v>10</v>
      </c>
      <c r="C12" s="4">
        <v>11083</v>
      </c>
      <c r="D12" s="4">
        <v>7520</v>
      </c>
    </row>
    <row r="13" spans="1:4" x14ac:dyDescent="0.3">
      <c r="A13" s="2">
        <v>2022</v>
      </c>
      <c r="B13" s="3">
        <v>11</v>
      </c>
      <c r="C13" s="4">
        <v>8750</v>
      </c>
      <c r="D13" s="4">
        <v>5937</v>
      </c>
    </row>
    <row r="14" spans="1:4" x14ac:dyDescent="0.3">
      <c r="A14" s="2">
        <v>2022</v>
      </c>
      <c r="B14" s="3">
        <v>12</v>
      </c>
      <c r="C14" s="4">
        <v>8166</v>
      </c>
      <c r="D14" s="4">
        <v>5541</v>
      </c>
    </row>
    <row r="15" spans="1:4" x14ac:dyDescent="0.3">
      <c r="A15" s="2">
        <v>2023</v>
      </c>
      <c r="B15" s="3">
        <v>1</v>
      </c>
      <c r="C15" s="4">
        <v>8802</v>
      </c>
      <c r="D15" s="4">
        <v>5958</v>
      </c>
    </row>
    <row r="16" spans="1:4" x14ac:dyDescent="0.3">
      <c r="A16" s="2">
        <v>2023</v>
      </c>
      <c r="B16" s="3">
        <v>2</v>
      </c>
      <c r="C16" s="4">
        <v>8802</v>
      </c>
      <c r="D16" s="4">
        <v>5958</v>
      </c>
    </row>
    <row r="17" spans="1:4" x14ac:dyDescent="0.3">
      <c r="A17" s="2">
        <v>2023</v>
      </c>
      <c r="B17" s="3">
        <v>3</v>
      </c>
      <c r="C17" s="4">
        <v>11510</v>
      </c>
      <c r="D17" s="4">
        <v>7791</v>
      </c>
    </row>
    <row r="18" spans="1:4" x14ac:dyDescent="0.3">
      <c r="A18" s="2">
        <v>2023</v>
      </c>
      <c r="B18" s="3">
        <v>4</v>
      </c>
      <c r="C18" s="4">
        <v>12864</v>
      </c>
      <c r="D18" s="4">
        <v>8708</v>
      </c>
    </row>
    <row r="19" spans="1:4" x14ac:dyDescent="0.3">
      <c r="A19" s="2">
        <v>2023</v>
      </c>
      <c r="B19" s="3">
        <v>5</v>
      </c>
      <c r="C19" s="4">
        <v>14895</v>
      </c>
      <c r="D19" s="4">
        <v>10083</v>
      </c>
    </row>
    <row r="20" spans="1:4" x14ac:dyDescent="0.3">
      <c r="A20" s="2">
        <v>2023</v>
      </c>
      <c r="B20" s="3">
        <v>6</v>
      </c>
      <c r="C20" s="4">
        <v>18958</v>
      </c>
      <c r="D20" s="4">
        <v>12833</v>
      </c>
    </row>
    <row r="21" spans="1:4" x14ac:dyDescent="0.3">
      <c r="A21" s="2">
        <v>2023</v>
      </c>
      <c r="B21" s="3">
        <v>7</v>
      </c>
      <c r="C21" s="4">
        <v>20312</v>
      </c>
      <c r="D21" s="4">
        <v>13750</v>
      </c>
    </row>
    <row r="22" spans="1:4" x14ac:dyDescent="0.3">
      <c r="A22" s="2">
        <v>2023</v>
      </c>
      <c r="B22" s="3">
        <v>8</v>
      </c>
      <c r="C22" s="4">
        <v>19635</v>
      </c>
      <c r="D22" s="4">
        <v>13291</v>
      </c>
    </row>
    <row r="23" spans="1:4" x14ac:dyDescent="0.3">
      <c r="A23" s="2">
        <v>2023</v>
      </c>
      <c r="B23" s="3">
        <v>9</v>
      </c>
      <c r="C23" s="4">
        <v>14218</v>
      </c>
      <c r="D23" s="4">
        <v>9625</v>
      </c>
    </row>
    <row r="24" spans="1:4" x14ac:dyDescent="0.3">
      <c r="A24" s="2">
        <v>2023</v>
      </c>
      <c r="B24" s="3">
        <v>10</v>
      </c>
      <c r="C24" s="4">
        <v>12864</v>
      </c>
      <c r="D24" s="4">
        <v>8708</v>
      </c>
    </row>
    <row r="25" spans="1:4" x14ac:dyDescent="0.3">
      <c r="A25" s="2">
        <v>2023</v>
      </c>
      <c r="B25" s="3">
        <v>11</v>
      </c>
      <c r="C25" s="4">
        <v>10156</v>
      </c>
      <c r="D25" s="4">
        <v>6875</v>
      </c>
    </row>
    <row r="26" spans="1:4" x14ac:dyDescent="0.3">
      <c r="A26" s="2">
        <v>2023</v>
      </c>
      <c r="B26" s="3">
        <v>12</v>
      </c>
      <c r="C26" s="4">
        <v>9479</v>
      </c>
      <c r="D26" s="4">
        <v>6416</v>
      </c>
    </row>
    <row r="27" spans="1:4" x14ac:dyDescent="0.3">
      <c r="A27" s="2">
        <v>2024</v>
      </c>
      <c r="B27" s="3">
        <v>1</v>
      </c>
      <c r="C27" s="4">
        <v>11356</v>
      </c>
      <c r="D27" s="4">
        <v>7457</v>
      </c>
    </row>
    <row r="28" spans="1:4" x14ac:dyDescent="0.3">
      <c r="A28" s="2">
        <v>2024</v>
      </c>
      <c r="B28" s="3">
        <v>2</v>
      </c>
      <c r="C28" s="4">
        <v>11356</v>
      </c>
      <c r="D28" s="4">
        <v>7457</v>
      </c>
    </row>
    <row r="29" spans="1:4" x14ac:dyDescent="0.3">
      <c r="A29" s="2">
        <v>2024</v>
      </c>
      <c r="B29" s="3">
        <v>3</v>
      </c>
      <c r="C29" s="4">
        <v>14850</v>
      </c>
      <c r="D29" s="4">
        <v>9752</v>
      </c>
    </row>
    <row r="30" spans="1:4" x14ac:dyDescent="0.3">
      <c r="A30" s="2">
        <v>2024</v>
      </c>
      <c r="B30" s="3">
        <v>4</v>
      </c>
      <c r="C30" s="4">
        <v>16597</v>
      </c>
      <c r="D30" s="4">
        <v>10899</v>
      </c>
    </row>
    <row r="31" spans="1:4" x14ac:dyDescent="0.3">
      <c r="A31" s="2">
        <v>2024</v>
      </c>
      <c r="B31" s="3">
        <v>5</v>
      </c>
      <c r="C31" s="4">
        <v>19218</v>
      </c>
      <c r="D31" s="4">
        <v>12620</v>
      </c>
    </row>
    <row r="32" spans="1:4" x14ac:dyDescent="0.3">
      <c r="A32" s="2">
        <v>2024</v>
      </c>
      <c r="B32" s="3">
        <v>6</v>
      </c>
      <c r="C32" s="4">
        <v>24459</v>
      </c>
      <c r="D32" s="4">
        <v>16063</v>
      </c>
    </row>
    <row r="33" spans="1:4" x14ac:dyDescent="0.3">
      <c r="A33" s="2">
        <v>2024</v>
      </c>
      <c r="B33" s="3">
        <v>7</v>
      </c>
      <c r="C33" s="4">
        <v>26206</v>
      </c>
      <c r="D33" s="4">
        <v>17210</v>
      </c>
    </row>
    <row r="34" spans="1:4" x14ac:dyDescent="0.3">
      <c r="A34" s="2">
        <v>2024</v>
      </c>
      <c r="B34" s="3">
        <v>8</v>
      </c>
      <c r="C34" s="4">
        <v>25332</v>
      </c>
      <c r="D34" s="4">
        <v>16636</v>
      </c>
    </row>
    <row r="35" spans="1:4" x14ac:dyDescent="0.3">
      <c r="A35" s="2">
        <v>2024</v>
      </c>
      <c r="B35" s="3">
        <v>9</v>
      </c>
      <c r="C35" s="4">
        <v>18344</v>
      </c>
      <c r="D35" s="4">
        <v>12047</v>
      </c>
    </row>
    <row r="36" spans="1:4" x14ac:dyDescent="0.3">
      <c r="A36" s="2">
        <v>2024</v>
      </c>
      <c r="B36" s="3">
        <v>10</v>
      </c>
      <c r="C36" s="4">
        <v>16597</v>
      </c>
      <c r="D36" s="4">
        <v>10899</v>
      </c>
    </row>
    <row r="37" spans="1:4" x14ac:dyDescent="0.3">
      <c r="A37" s="2">
        <v>2024</v>
      </c>
      <c r="B37" s="3">
        <v>11</v>
      </c>
      <c r="C37" s="4">
        <v>13103</v>
      </c>
      <c r="D37" s="4">
        <v>8605</v>
      </c>
    </row>
    <row r="38" spans="1:4" x14ac:dyDescent="0.3">
      <c r="A38" s="2">
        <v>2024</v>
      </c>
      <c r="B38" s="3">
        <v>12</v>
      </c>
      <c r="C38" s="4">
        <v>12229</v>
      </c>
      <c r="D38" s="4">
        <v>8031</v>
      </c>
    </row>
    <row r="39" spans="1:4" x14ac:dyDescent="0.3">
      <c r="A39" s="2">
        <v>2025</v>
      </c>
      <c r="B39" s="3">
        <v>1</v>
      </c>
      <c r="C39" s="4">
        <v>11943</v>
      </c>
      <c r="D39" s="4">
        <v>7843</v>
      </c>
    </row>
    <row r="40" spans="1:4" x14ac:dyDescent="0.3">
      <c r="A40" s="2">
        <v>2025</v>
      </c>
      <c r="B40" s="3">
        <v>2</v>
      </c>
      <c r="C40" s="4">
        <v>11943</v>
      </c>
      <c r="D40" s="4">
        <v>7843</v>
      </c>
    </row>
    <row r="41" spans="1:4" x14ac:dyDescent="0.3">
      <c r="A41" s="2">
        <v>2025</v>
      </c>
      <c r="B41" s="3">
        <v>3</v>
      </c>
      <c r="C41" s="4">
        <v>15618</v>
      </c>
      <c r="D41" s="4">
        <v>10256</v>
      </c>
    </row>
    <row r="42" spans="1:4" x14ac:dyDescent="0.3">
      <c r="A42" s="2">
        <v>2025</v>
      </c>
      <c r="B42" s="3">
        <v>4</v>
      </c>
      <c r="C42" s="4">
        <v>17456</v>
      </c>
      <c r="D42" s="4">
        <v>11463</v>
      </c>
    </row>
    <row r="43" spans="1:4" x14ac:dyDescent="0.3">
      <c r="A43" s="2">
        <v>2025</v>
      </c>
      <c r="B43" s="3">
        <v>5</v>
      </c>
      <c r="C43" s="4">
        <v>20212</v>
      </c>
      <c r="D43" s="4">
        <v>13273</v>
      </c>
    </row>
    <row r="44" spans="1:4" x14ac:dyDescent="0.3">
      <c r="A44" s="2">
        <v>2025</v>
      </c>
      <c r="B44" s="3">
        <v>6</v>
      </c>
      <c r="C44" s="4">
        <v>25725</v>
      </c>
      <c r="D44" s="4">
        <v>16893</v>
      </c>
    </row>
    <row r="45" spans="1:4" x14ac:dyDescent="0.3">
      <c r="A45" s="2">
        <v>2025</v>
      </c>
      <c r="B45" s="3">
        <v>7</v>
      </c>
      <c r="C45" s="4">
        <v>27562</v>
      </c>
      <c r="D45" s="4">
        <v>18100</v>
      </c>
    </row>
    <row r="46" spans="1:4" x14ac:dyDescent="0.3">
      <c r="A46" s="2">
        <v>2025</v>
      </c>
      <c r="B46" s="3">
        <v>8</v>
      </c>
      <c r="C46" s="4">
        <v>26643</v>
      </c>
      <c r="D46" s="4">
        <v>17496</v>
      </c>
    </row>
    <row r="47" spans="1:4" x14ac:dyDescent="0.3">
      <c r="A47" s="2">
        <v>2025</v>
      </c>
      <c r="B47" s="3">
        <v>9</v>
      </c>
      <c r="C47" s="4">
        <v>19293</v>
      </c>
      <c r="D47" s="4">
        <v>12670</v>
      </c>
    </row>
    <row r="48" spans="1:4" x14ac:dyDescent="0.3">
      <c r="A48" s="2">
        <v>2025</v>
      </c>
      <c r="B48" s="3">
        <v>10</v>
      </c>
      <c r="C48" s="4">
        <v>17456</v>
      </c>
      <c r="D48" s="4">
        <v>11463</v>
      </c>
    </row>
    <row r="49" spans="1:4" x14ac:dyDescent="0.3">
      <c r="A49" s="2">
        <v>2025</v>
      </c>
      <c r="B49" s="3">
        <v>11</v>
      </c>
      <c r="C49" s="4">
        <v>13781</v>
      </c>
      <c r="D49" s="4">
        <v>9050</v>
      </c>
    </row>
    <row r="50" spans="1:4" x14ac:dyDescent="0.3">
      <c r="A50" s="2">
        <v>2025</v>
      </c>
      <c r="B50" s="3">
        <v>12</v>
      </c>
      <c r="C50" s="4">
        <v>12862</v>
      </c>
      <c r="D50" s="4">
        <v>8446</v>
      </c>
    </row>
    <row r="51" spans="1:4" x14ac:dyDescent="0.3">
      <c r="A51" s="5" t="s">
        <v>5</v>
      </c>
      <c r="C51" s="6">
        <f>SUM(C3:C14)</f>
        <v>139996</v>
      </c>
      <c r="D51" s="6">
        <f>SUM(D3:D14)</f>
        <v>94994</v>
      </c>
    </row>
    <row r="52" spans="1:4" x14ac:dyDescent="0.3">
      <c r="A52" s="5" t="s">
        <v>6</v>
      </c>
      <c r="C52" s="6">
        <f>SUM(C15:C26)</f>
        <v>162495</v>
      </c>
      <c r="D52" s="6">
        <f>SUM(D15:D26)</f>
        <v>109996</v>
      </c>
    </row>
    <row r="53" spans="1:4" x14ac:dyDescent="0.3">
      <c r="A53" s="5" t="s">
        <v>7</v>
      </c>
      <c r="C53" s="6">
        <f>SUM(C27:C38)</f>
        <v>209647</v>
      </c>
      <c r="D53" s="6">
        <f>SUM(D27:D38)</f>
        <v>137676</v>
      </c>
    </row>
    <row r="54" spans="1:4" x14ac:dyDescent="0.3">
      <c r="A54" s="5" t="s">
        <v>8</v>
      </c>
      <c r="C54" s="6">
        <f>SUM(C39:C50)</f>
        <v>220494</v>
      </c>
      <c r="D54" s="6">
        <f>SUM(D39:D50)</f>
        <v>144796</v>
      </c>
    </row>
    <row r="55" spans="1:4" x14ac:dyDescent="0.3">
      <c r="A55" s="7" t="s">
        <v>9</v>
      </c>
      <c r="C55" s="8">
        <f>AVERAGE(C3:C51)</f>
        <v>17808.734693877552</v>
      </c>
      <c r="D55" s="8">
        <f>AVERAGE(D3:D51)</f>
        <v>11886.857142857143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Visitantes Monumentos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Esteban Sota Leiva</cp:lastModifiedBy>
  <dcterms:created xsi:type="dcterms:W3CDTF">2026-06-16T15:38:28Z</dcterms:created>
  <dcterms:modified xsi:type="dcterms:W3CDTF">2026-07-30T13:31:18Z</dcterms:modified>
</cp:coreProperties>
</file>