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riamlab-my.sharepoint.com/personal/estebansota_gnoss_com/Documents/DTI Cádiz/Datos Cádiz/Enoturismo/"/>
    </mc:Choice>
  </mc:AlternateContent>
  <xr:revisionPtr revIDLastSave="0" documentId="11_F0FF62F3A55EAFE6317CB7E91D9E12F7671C2B90" xr6:coauthVersionLast="47" xr6:coauthVersionMax="47" xr10:uidLastSave="{00000000-0000-0000-0000-000000000000}"/>
  <bookViews>
    <workbookView xWindow="-108" yWindow="-108" windowWidth="23256" windowHeight="12456" tabRatio="500" xr2:uid="{00000000-000D-0000-FFFF-FFFF00000000}"/>
  </bookViews>
  <sheets>
    <sheet name="Marco de Jerez"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4" i="1" l="1"/>
  <c r="E29" i="1"/>
  <c r="E28" i="1"/>
  <c r="E27" i="1"/>
  <c r="C16" i="1"/>
  <c r="C15" i="1"/>
  <c r="E14" i="1"/>
  <c r="E13" i="1"/>
  <c r="E12" i="1"/>
  <c r="E8" i="1"/>
</calcChain>
</file>

<file path=xl/sharedStrings.xml><?xml version="1.0" encoding="utf-8"?>
<sst xmlns="http://schemas.openxmlformats.org/spreadsheetml/2006/main" count="104" uniqueCount="62">
  <si>
    <t>Ruta del Vino y el Brandy Marco de Jerez — Datos del Informe ACEVIN 2024</t>
  </si>
  <si>
    <t>Fuente: Observatorio Turístico Rutas del Vino de España — Informe de visitantes a bodegas y museos del vino, Año 2024 (ACEVIN, publicado octubre 2025)</t>
  </si>
  <si>
    <t>Celdas en ámbar/cursiva = valor de 2023 ESTIMADO por comparación proporcional de altura de barra (ver nota metodológica al final). Resto = dato impreso directamente en el informe.</t>
  </si>
  <si>
    <t>1. OFERTA DE SERVICIOS ENOTURÍSTICOS</t>
  </si>
  <si>
    <t>Métrica</t>
  </si>
  <si>
    <t>2023</t>
  </si>
  <si>
    <t>2024</t>
  </si>
  <si>
    <t>Unidad</t>
  </si>
  <si>
    <t>Var. %</t>
  </si>
  <si>
    <t>Fuente / página del informe</t>
  </si>
  <si>
    <t>Servicios y entidades (total combinado, tabla)</t>
  </si>
  <si>
    <t>nº</t>
  </si>
  <si>
    <t>Tabla 2.1 'Oferta de servicios enoturísticos en Rutas del Vino de España', pág. 10 (3,61% del total del Club)</t>
  </si>
  <si>
    <t>Oferta de servicios (evolución anual)</t>
  </si>
  <si>
    <t>Gráfico 'Evolución de la oferta de servicios enoturísticos 2023-2024', pág. 14</t>
  </si>
  <si>
    <t>2. VISITANTES A BODEGAS Y MUSEOS</t>
  </si>
  <si>
    <t>Visitantes totales (bodegas + museos)</t>
  </si>
  <si>
    <t>personas</t>
  </si>
  <si>
    <t>Texto pág. 22 (ruta más visitada de España) y gráfico 'Evolución anual de visitantes', pág. 23</t>
  </si>
  <si>
    <t>Visitantes en Bodegas</t>
  </si>
  <si>
    <t>Gráfico 'Evolución de visitantes en Bodegas 2023-2024', pág. 30</t>
  </si>
  <si>
    <t>Visitantes en Museos</t>
  </si>
  <si>
    <t>Gráfico 'Evolución de visitantes en Museos 2023-2024', pág. 31</t>
  </si>
  <si>
    <t>% Visitantes en Bodegas sobre el total (2024)</t>
  </si>
  <si>
    <t>Calculado a partir de pág. 27/28 (340.309 / 425.652)</t>
  </si>
  <si>
    <t>% Visitantes en Museos sobre el total (2024)</t>
  </si>
  <si>
    <t>Calculado a partir de pág. 27/28 (85.343 / 425.652)</t>
  </si>
  <si>
    <t>3. PROCEDENCIA DE LOS VISITANTES (2024)</t>
  </si>
  <si>
    <t>Visitantes internacionales</t>
  </si>
  <si>
    <t>Gráfico 'Distribución de visitantes según procedencia', pág. 33</t>
  </si>
  <si>
    <t>Visitantes nacionales</t>
  </si>
  <si>
    <t>% Internacional</t>
  </si>
  <si>
    <t>%</t>
  </si>
  <si>
    <t>Gráfico pág. 34 y Tabla '% Internacional por Ruta', pág. 36 (31,90%)</t>
  </si>
  <si>
    <t>% Nacional</t>
  </si>
  <si>
    <t>Gráfico 'Distribución porcentual de visitantes por procedencia', pág. 34</t>
  </si>
  <si>
    <t>4. PRECIO MEDIO Y GASTO MEDIO DE LA VISITA</t>
  </si>
  <si>
    <t>Precio medio visita - Bodegas</t>
  </si>
  <si>
    <t>€</t>
  </si>
  <si>
    <t>Gráfico 'Precio medio de la visita en las Bodegas 2023-2024', pág. 49</t>
  </si>
  <si>
    <t>Precio medio visita - Museos</t>
  </si>
  <si>
    <t>Gráfico 'Precio medio de la visita en Museos 2023-2024', pág. 51</t>
  </si>
  <si>
    <t>Gasto medio en tienda - Bodegas</t>
  </si>
  <si>
    <t>Gráfico 'Gasto medio de la visita en Bodegas 2023-2024', pág. 50</t>
  </si>
  <si>
    <t>Gasto medio en tienda - Museos</t>
  </si>
  <si>
    <t>Gráfico 'Gasto medio por tipo de producto' (solo 2024), pág. 54 — el informe no incluye serie histórica 2023 por ruta para este dato</t>
  </si>
  <si>
    <t>5. IMPACTO ECONÓMICO</t>
  </si>
  <si>
    <t>Ingresos totales estimados (bodegas + museos)</t>
  </si>
  <si>
    <t>millones €</t>
  </si>
  <si>
    <t>Gráfico 'Evolución de ingresos totales 2023-2024', pág. 56</t>
  </si>
  <si>
    <t>6. ESTACIONALIDAD Y RANKING (2024)</t>
  </si>
  <si>
    <t>Posición en el ranking de las 37 Rutas del Vino</t>
  </si>
  <si>
    <t>posición</t>
  </si>
  <si>
    <t>Texto pág. 22 ("la Ruta del Vino y el Brandy Marco de Jerez, con 425.652 visitantes")</t>
  </si>
  <si>
    <t>Mes de mayor afluencia</t>
  </si>
  <si>
    <t>Mayo</t>
  </si>
  <si>
    <t>mes</t>
  </si>
  <si>
    <t>Tabla 'Meses de mayor y menor afluencia por Ruta', pág. 42</t>
  </si>
  <si>
    <t>Mes de menor afluencia</t>
  </si>
  <si>
    <t>Enero</t>
  </si>
  <si>
    <t>NOTA METODOLÓGICA — ESTIMACIÓN DE VALORES 2023</t>
  </si>
  <si>
    <t>Los gráficos comparativos 2023-2024 del informe imprimen únicamente la etiqueta numérica de la barra verde (2024); la barra gris (2023) no lleva valor impreso. Para poder ofrecer una comparación año a año, los valores de 2023 señalados en ámbar y cursiva en esta hoja han sido ESTIMADOS por el asistente de IA mediante análisis píxel a píxel de las imágenes del informe: (1) se localizaron las líneas de cuadrícula del eje Y de cada gráfico y su valor asociado para establecer una escala de conversión píxeles→unidades; (2) se identificó la barra verde (2024) correspondiente a Marco de Jerez comprobando que el valor recalculado a partir de su altura coincidía con la etiqueta impresa real (error de calibración típicamente inferior al 2%); (3) se aplicó la misma escala a la barra gris adyacente (2023) para obtener su valor estimado, aplicando un pequeño factor de corrección proporcional al error observado en la barra verde de control.
Estos valores de 2023 son aproximaciones razonables pero NO constituyen datos oficiales publicados por ACEVIN, y deben tratarse con cautela (margen de error estimado ±2-3%). Todos los valores de 2024 (en negrita) proceden directamente del texto o las etiquetas numéricas impresas en el informe.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</si>
</sst>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
    </font>
    <font>
      <b/>
      <sz val="14"/>
      <color rgb="FFFFFFFF"/>
      <name val="Arial"/>
      <charset val="1"/>
    </font>
    <font>
      <i/>
      <sz val="8"/>
      <color rgb="FF808080"/>
      <name val="Arial"/>
      <charset val="1"/>
    </font>
    <font>
      <i/>
      <sz val="8"/>
      <color rgb="FF9C5700"/>
      <name val="Arial"/>
      <charset val="1"/>
    </font>
    <font>
      <b/>
      <sz val="11"/>
      <color rgb="FFFFFFFF"/>
      <name val="Arial"/>
      <charset val="1"/>
    </font>
    <font>
      <b/>
      <sz val="10"/>
      <color rgb="FFFFFFFF"/>
      <name val="Arial"/>
      <charset val="1"/>
    </font>
    <font>
      <sz val="10"/>
      <name val="Arial"/>
      <charset val="1"/>
    </font>
    <font>
      <b/>
      <sz val="10"/>
      <name val="Arial"/>
      <charset val="1"/>
    </font>
    <font>
      <i/>
      <sz val="10"/>
      <color rgb="FF9C5700"/>
      <name val="Arial"/>
      <charset val="1"/>
    </font>
    <font>
      <i/>
      <sz val="9"/>
      <name val="Arial"/>
      <charset val="1"/>
    </font>
  </fonts>
  <fills count="6">
    <fill>
      <patternFill patternType="none"/>
    </fill>
    <fill>
      <patternFill patternType="gray125"/>
    </fill>
    <fill>
      <patternFill patternType="solid">
        <fgColor rgb="FF6FAF46"/>
        <bgColor rgb="FF8DB84B"/>
      </patternFill>
    </fill>
    <fill>
      <patternFill patternType="solid">
        <fgColor rgb="FF8DB84B"/>
        <bgColor rgb="FF6FAF46"/>
      </patternFill>
    </fill>
    <fill>
      <patternFill patternType="solid">
        <fgColor rgb="FFA9A9A9"/>
        <bgColor rgb="FF9999FF"/>
      </patternFill>
    </fill>
    <fill>
      <patternFill patternType="solid">
        <fgColor rgb="FFFFF2CC"/>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9">
    <xf numFmtId="0" fontId="0" fillId="0" borderId="0" xfId="0"/>
    <xf numFmtId="0" fontId="9" fillId="0" borderId="0" xfId="0" applyFont="1" applyAlignment="1">
      <alignment vertical="top" wrapText="1"/>
    </xf>
    <xf numFmtId="0" fontId="4" fillId="3" borderId="0" xfId="0" applyFont="1" applyFill="1"/>
    <xf numFmtId="0" fontId="3" fillId="0" borderId="0" xfId="0" applyFont="1"/>
    <xf numFmtId="0" fontId="2" fillId="0" borderId="0" xfId="0" applyFont="1"/>
    <xf numFmtId="0" fontId="1" fillId="2" borderId="0" xfId="0" applyFont="1" applyFill="1" applyAlignment="1">
      <alignment horizontal="left" vertical="center"/>
    </xf>
    <xf numFmtId="0" fontId="5" fillId="4" borderId="1" xfId="0" applyFont="1" applyFill="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center"/>
    </xf>
    <xf numFmtId="0" fontId="7" fillId="0" borderId="1" xfId="0" applyFont="1" applyBorder="1" applyAlignment="1">
      <alignment horizontal="center"/>
    </xf>
    <xf numFmtId="0" fontId="0" fillId="0" borderId="1" xfId="0" applyBorder="1"/>
    <xf numFmtId="0" fontId="2" fillId="0" borderId="1" xfId="0" applyFont="1" applyBorder="1" applyAlignment="1">
      <alignment vertical="center" wrapText="1"/>
    </xf>
    <xf numFmtId="0" fontId="8" fillId="5" borderId="1" xfId="0" applyFont="1" applyFill="1" applyBorder="1" applyAlignment="1">
      <alignment horizontal="center"/>
    </xf>
    <xf numFmtId="164" fontId="6" fillId="0" borderId="1" xfId="0" applyNumberFormat="1" applyFont="1" applyBorder="1" applyAlignment="1">
      <alignment horizontal="center"/>
    </xf>
    <xf numFmtId="0" fontId="6" fillId="0" borderId="1" xfId="0" applyFont="1" applyBorder="1"/>
    <xf numFmtId="164" fontId="7" fillId="0" borderId="1" xfId="0" applyNumberFormat="1" applyFont="1" applyBorder="1"/>
    <xf numFmtId="0" fontId="2" fillId="0" borderId="1" xfId="0" applyFont="1" applyBorder="1"/>
    <xf numFmtId="164" fontId="7" fillId="0" borderId="1" xfId="0" applyNumberFormat="1" applyFont="1" applyBorder="1" applyAlignment="1">
      <alignment horizontal="center"/>
    </xf>
    <xf numFmtId="1" fontId="7" fillId="0" borderId="1" xfId="0" applyNumberFormat="1"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DB84B"/>
      <rgbColor rgb="FFFFCC00"/>
      <rgbColor rgb="FFFF9900"/>
      <rgbColor rgb="FFFF6600"/>
      <rgbColor rgb="FF666699"/>
      <rgbColor rgb="FFA9A9A9"/>
      <rgbColor rgb="FF003366"/>
      <rgbColor rgb="FF6FAF4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
  <sheetViews>
    <sheetView tabSelected="1" zoomScaleNormal="100" workbookViewId="0">
      <pane ySplit="4" topLeftCell="A5" activePane="bottomLeft" state="frozen"/>
      <selection pane="bottomLeft" sqref="A1:F1"/>
    </sheetView>
  </sheetViews>
  <sheetFormatPr baseColWidth="10" defaultColWidth="8.6640625" defaultRowHeight="14.4" x14ac:dyDescent="0.3"/>
  <cols>
    <col min="1" max="1" width="44" customWidth="1"/>
    <col min="2" max="3" width="14" customWidth="1"/>
    <col min="4" max="4" width="12" customWidth="1"/>
    <col min="5" max="5" width="10" customWidth="1"/>
    <col min="6" max="6" width="58" customWidth="1"/>
  </cols>
  <sheetData>
    <row r="1" spans="1:6" ht="27.75" customHeight="1" x14ac:dyDescent="0.3">
      <c r="A1" s="5" t="s">
        <v>0</v>
      </c>
      <c r="B1" s="5"/>
      <c r="C1" s="5"/>
      <c r="D1" s="5"/>
      <c r="E1" s="5"/>
      <c r="F1" s="5"/>
    </row>
    <row r="2" spans="1:6" ht="15.75" customHeight="1" x14ac:dyDescent="0.3">
      <c r="A2" s="4" t="s">
        <v>1</v>
      </c>
      <c r="B2" s="4"/>
      <c r="C2" s="4"/>
      <c r="D2" s="4"/>
      <c r="E2" s="4"/>
      <c r="F2" s="4"/>
    </row>
    <row r="3" spans="1:6" ht="13.5" customHeight="1" x14ac:dyDescent="0.3">
      <c r="A3" s="3" t="s">
        <v>2</v>
      </c>
      <c r="B3" s="3"/>
      <c r="C3" s="3"/>
      <c r="D3" s="3"/>
      <c r="E3" s="3"/>
      <c r="F3" s="3"/>
    </row>
    <row r="5" spans="1:6" ht="19.5" customHeight="1" x14ac:dyDescent="0.3">
      <c r="A5" s="2" t="s">
        <v>3</v>
      </c>
      <c r="B5" s="2"/>
      <c r="C5" s="2"/>
      <c r="D5" s="2"/>
      <c r="E5" s="2"/>
      <c r="F5" s="2"/>
    </row>
    <row r="6" spans="1:6" ht="25.5" customHeight="1" x14ac:dyDescent="0.3">
      <c r="A6" s="6" t="s">
        <v>4</v>
      </c>
      <c r="B6" s="6" t="s">
        <v>5</v>
      </c>
      <c r="C6" s="6" t="s">
        <v>6</v>
      </c>
      <c r="D6" s="6" t="s">
        <v>7</v>
      </c>
      <c r="E6" s="6" t="s">
        <v>8</v>
      </c>
      <c r="F6" s="6" t="s">
        <v>9</v>
      </c>
    </row>
    <row r="7" spans="1:6" ht="18.75" customHeight="1" x14ac:dyDescent="0.3">
      <c r="A7" s="7" t="s">
        <v>10</v>
      </c>
      <c r="B7" s="8"/>
      <c r="C7" s="9">
        <v>111</v>
      </c>
      <c r="D7" s="7" t="s">
        <v>11</v>
      </c>
      <c r="E7" s="10"/>
      <c r="F7" s="11" t="s">
        <v>12</v>
      </c>
    </row>
    <row r="8" spans="1:6" ht="15" customHeight="1" x14ac:dyDescent="0.3">
      <c r="A8" s="7" t="s">
        <v>13</v>
      </c>
      <c r="B8" s="12">
        <v>110</v>
      </c>
      <c r="C8" s="9">
        <v>93</v>
      </c>
      <c r="D8" s="7" t="s">
        <v>11</v>
      </c>
      <c r="E8" s="13">
        <f>(C8-B8)/B8</f>
        <v>-0.15454545454545454</v>
      </c>
      <c r="F8" s="11" t="s">
        <v>14</v>
      </c>
    </row>
    <row r="10" spans="1:6" ht="19.5" customHeight="1" x14ac:dyDescent="0.3">
      <c r="A10" s="2" t="s">
        <v>15</v>
      </c>
      <c r="B10" s="2"/>
      <c r="C10" s="2"/>
      <c r="D10" s="2"/>
      <c r="E10" s="2"/>
      <c r="F10" s="2"/>
    </row>
    <row r="11" spans="1:6" ht="25.5" customHeight="1" x14ac:dyDescent="0.3">
      <c r="A11" s="6" t="s">
        <v>4</v>
      </c>
      <c r="B11" s="6" t="s">
        <v>5</v>
      </c>
      <c r="C11" s="6" t="s">
        <v>6</v>
      </c>
      <c r="D11" s="6" t="s">
        <v>7</v>
      </c>
      <c r="E11" s="6" t="s">
        <v>8</v>
      </c>
      <c r="F11" s="6" t="s">
        <v>9</v>
      </c>
    </row>
    <row r="12" spans="1:6" ht="18.75" customHeight="1" x14ac:dyDescent="0.3">
      <c r="A12" s="7" t="s">
        <v>16</v>
      </c>
      <c r="B12" s="12">
        <v>383200</v>
      </c>
      <c r="C12" s="9">
        <v>425652</v>
      </c>
      <c r="D12" s="7" t="s">
        <v>17</v>
      </c>
      <c r="E12" s="13">
        <f>(C12-B12)/B12</f>
        <v>0.11078288100208768</v>
      </c>
      <c r="F12" s="11" t="s">
        <v>18</v>
      </c>
    </row>
    <row r="13" spans="1:6" ht="15" customHeight="1" x14ac:dyDescent="0.3">
      <c r="A13" s="7" t="s">
        <v>19</v>
      </c>
      <c r="B13" s="12">
        <v>341100</v>
      </c>
      <c r="C13" s="9">
        <v>340309</v>
      </c>
      <c r="D13" s="7" t="s">
        <v>17</v>
      </c>
      <c r="E13" s="13">
        <f>(C13-B13)/B13</f>
        <v>-2.3189680445617122E-3</v>
      </c>
      <c r="F13" s="11" t="s">
        <v>20</v>
      </c>
    </row>
    <row r="14" spans="1:6" ht="15" customHeight="1" x14ac:dyDescent="0.3">
      <c r="A14" s="7" t="s">
        <v>21</v>
      </c>
      <c r="B14" s="12">
        <v>41500</v>
      </c>
      <c r="C14" s="9">
        <v>85343</v>
      </c>
      <c r="D14" s="7" t="s">
        <v>17</v>
      </c>
      <c r="E14" s="13">
        <f>(C14-B14)/B14</f>
        <v>1.0564578313253012</v>
      </c>
      <c r="F14" s="11" t="s">
        <v>22</v>
      </c>
    </row>
    <row r="15" spans="1:6" ht="15" customHeight="1" x14ac:dyDescent="0.3">
      <c r="A15" s="14" t="s">
        <v>23</v>
      </c>
      <c r="B15" s="10"/>
      <c r="C15" s="15">
        <f>C13/(C13+C14)</f>
        <v>0.79950053095016582</v>
      </c>
      <c r="D15" s="10"/>
      <c r="E15" s="10"/>
      <c r="F15" s="16" t="s">
        <v>24</v>
      </c>
    </row>
    <row r="16" spans="1:6" ht="15" customHeight="1" x14ac:dyDescent="0.3">
      <c r="A16" s="14" t="s">
        <v>25</v>
      </c>
      <c r="B16" s="10"/>
      <c r="C16" s="15">
        <f>C14/(C13+C14)</f>
        <v>0.20049946904983415</v>
      </c>
      <c r="D16" s="10"/>
      <c r="E16" s="10"/>
      <c r="F16" s="16" t="s">
        <v>26</v>
      </c>
    </row>
    <row r="18" spans="1:6" ht="19.5" customHeight="1" x14ac:dyDescent="0.3">
      <c r="A18" s="2" t="s">
        <v>27</v>
      </c>
      <c r="B18" s="2"/>
      <c r="C18" s="2"/>
      <c r="D18" s="2"/>
      <c r="E18" s="2"/>
      <c r="F18" s="2"/>
    </row>
    <row r="19" spans="1:6" ht="25.5" customHeight="1" x14ac:dyDescent="0.3">
      <c r="A19" s="6" t="s">
        <v>4</v>
      </c>
      <c r="B19" s="6" t="s">
        <v>5</v>
      </c>
      <c r="C19" s="6" t="s">
        <v>6</v>
      </c>
      <c r="D19" s="6" t="s">
        <v>7</v>
      </c>
      <c r="E19" s="6" t="s">
        <v>8</v>
      </c>
      <c r="F19" s="6" t="s">
        <v>9</v>
      </c>
    </row>
    <row r="20" spans="1:6" ht="15" customHeight="1" x14ac:dyDescent="0.3">
      <c r="A20" s="7" t="s">
        <v>28</v>
      </c>
      <c r="B20" s="8"/>
      <c r="C20" s="9">
        <v>135987</v>
      </c>
      <c r="D20" s="7" t="s">
        <v>17</v>
      </c>
      <c r="E20" s="10"/>
      <c r="F20" s="11" t="s">
        <v>29</v>
      </c>
    </row>
    <row r="21" spans="1:6" ht="15" customHeight="1" x14ac:dyDescent="0.3">
      <c r="A21" s="7" t="s">
        <v>30</v>
      </c>
      <c r="B21" s="8"/>
      <c r="C21" s="9">
        <v>289666</v>
      </c>
      <c r="D21" s="7" t="s">
        <v>17</v>
      </c>
      <c r="E21" s="10"/>
      <c r="F21" s="11" t="s">
        <v>29</v>
      </c>
    </row>
    <row r="22" spans="1:6" ht="15" customHeight="1" x14ac:dyDescent="0.3">
      <c r="A22" s="7" t="s">
        <v>31</v>
      </c>
      <c r="B22" s="13"/>
      <c r="C22" s="17">
        <v>0.31900000000000001</v>
      </c>
      <c r="D22" s="7" t="s">
        <v>32</v>
      </c>
      <c r="E22" s="10"/>
      <c r="F22" s="11" t="s">
        <v>33</v>
      </c>
    </row>
    <row r="23" spans="1:6" ht="15" customHeight="1" x14ac:dyDescent="0.3">
      <c r="A23" s="7" t="s">
        <v>34</v>
      </c>
      <c r="B23" s="13"/>
      <c r="C23" s="17">
        <v>0.68100000000000005</v>
      </c>
      <c r="D23" s="7" t="s">
        <v>32</v>
      </c>
      <c r="E23" s="10"/>
      <c r="F23" s="11" t="s">
        <v>35</v>
      </c>
    </row>
    <row r="25" spans="1:6" ht="19.5" customHeight="1" x14ac:dyDescent="0.3">
      <c r="A25" s="2" t="s">
        <v>36</v>
      </c>
      <c r="B25" s="2"/>
      <c r="C25" s="2"/>
      <c r="D25" s="2"/>
      <c r="E25" s="2"/>
      <c r="F25" s="2"/>
    </row>
    <row r="26" spans="1:6" ht="25.5" customHeight="1" x14ac:dyDescent="0.3">
      <c r="A26" s="6" t="s">
        <v>4</v>
      </c>
      <c r="B26" s="6" t="s">
        <v>5</v>
      </c>
      <c r="C26" s="6" t="s">
        <v>6</v>
      </c>
      <c r="D26" s="6" t="s">
        <v>7</v>
      </c>
      <c r="E26" s="6" t="s">
        <v>8</v>
      </c>
      <c r="F26" s="6" t="s">
        <v>9</v>
      </c>
    </row>
    <row r="27" spans="1:6" ht="15" customHeight="1" x14ac:dyDescent="0.3">
      <c r="A27" s="7" t="s">
        <v>37</v>
      </c>
      <c r="B27" s="12">
        <v>23.8</v>
      </c>
      <c r="C27" s="9">
        <v>22.2</v>
      </c>
      <c r="D27" s="7" t="s">
        <v>38</v>
      </c>
      <c r="E27" s="13">
        <f>(C27-B27)/B27</f>
        <v>-6.7226890756302574E-2</v>
      </c>
      <c r="F27" s="11" t="s">
        <v>39</v>
      </c>
    </row>
    <row r="28" spans="1:6" ht="15" customHeight="1" x14ac:dyDescent="0.3">
      <c r="A28" s="7" t="s">
        <v>40</v>
      </c>
      <c r="B28" s="12">
        <v>5.7</v>
      </c>
      <c r="C28" s="9">
        <v>7</v>
      </c>
      <c r="D28" s="7" t="s">
        <v>38</v>
      </c>
      <c r="E28" s="13">
        <f>(C28-B28)/B28</f>
        <v>0.22807017543859645</v>
      </c>
      <c r="F28" s="11" t="s">
        <v>41</v>
      </c>
    </row>
    <row r="29" spans="1:6" ht="15" customHeight="1" x14ac:dyDescent="0.3">
      <c r="A29" s="7" t="s">
        <v>42</v>
      </c>
      <c r="B29" s="12">
        <v>30.4</v>
      </c>
      <c r="C29" s="9">
        <v>28.4</v>
      </c>
      <c r="D29" s="7" t="s">
        <v>38</v>
      </c>
      <c r="E29" s="13">
        <f>(C29-B29)/B29</f>
        <v>-6.5789473684210523E-2</v>
      </c>
      <c r="F29" s="11" t="s">
        <v>43</v>
      </c>
    </row>
    <row r="30" spans="1:6" ht="18.75" customHeight="1" x14ac:dyDescent="0.3">
      <c r="A30" s="7" t="s">
        <v>44</v>
      </c>
      <c r="B30" s="8"/>
      <c r="C30" s="9">
        <v>12.7</v>
      </c>
      <c r="D30" s="7" t="s">
        <v>38</v>
      </c>
      <c r="E30" s="10"/>
      <c r="F30" s="11" t="s">
        <v>45</v>
      </c>
    </row>
    <row r="32" spans="1:6" ht="19.5" customHeight="1" x14ac:dyDescent="0.3">
      <c r="A32" s="2" t="s">
        <v>46</v>
      </c>
      <c r="B32" s="2"/>
      <c r="C32" s="2"/>
      <c r="D32" s="2"/>
      <c r="E32" s="2"/>
      <c r="F32" s="2"/>
    </row>
    <row r="33" spans="1:6" ht="25.5" customHeight="1" x14ac:dyDescent="0.3">
      <c r="A33" s="6" t="s">
        <v>4</v>
      </c>
      <c r="B33" s="6" t="s">
        <v>5</v>
      </c>
      <c r="C33" s="6" t="s">
        <v>6</v>
      </c>
      <c r="D33" s="6" t="s">
        <v>7</v>
      </c>
      <c r="E33" s="6" t="s">
        <v>8</v>
      </c>
      <c r="F33" s="6" t="s">
        <v>9</v>
      </c>
    </row>
    <row r="34" spans="1:6" ht="15" customHeight="1" x14ac:dyDescent="0.3">
      <c r="A34" s="7" t="s">
        <v>47</v>
      </c>
      <c r="B34" s="12">
        <v>19.100000000000001</v>
      </c>
      <c r="C34" s="9">
        <v>17.2</v>
      </c>
      <c r="D34" s="7" t="s">
        <v>48</v>
      </c>
      <c r="E34" s="13">
        <f>(C34-B34)/B34</f>
        <v>-9.9476439790576021E-2</v>
      </c>
      <c r="F34" s="11" t="s">
        <v>49</v>
      </c>
    </row>
    <row r="36" spans="1:6" ht="19.5" customHeight="1" x14ac:dyDescent="0.3">
      <c r="A36" s="2" t="s">
        <v>50</v>
      </c>
      <c r="B36" s="2"/>
      <c r="C36" s="2"/>
      <c r="D36" s="2"/>
      <c r="E36" s="2"/>
      <c r="F36" s="2"/>
    </row>
    <row r="37" spans="1:6" ht="25.5" customHeight="1" x14ac:dyDescent="0.3">
      <c r="A37" s="6" t="s">
        <v>4</v>
      </c>
      <c r="B37" s="6" t="s">
        <v>5</v>
      </c>
      <c r="C37" s="6" t="s">
        <v>6</v>
      </c>
      <c r="D37" s="6" t="s">
        <v>7</v>
      </c>
      <c r="E37" s="6" t="s">
        <v>8</v>
      </c>
      <c r="F37" s="6" t="s">
        <v>9</v>
      </c>
    </row>
    <row r="38" spans="1:6" ht="18.75" customHeight="1" x14ac:dyDescent="0.3">
      <c r="A38" s="7" t="s">
        <v>51</v>
      </c>
      <c r="B38" s="8"/>
      <c r="C38" s="18">
        <v>1</v>
      </c>
      <c r="D38" s="7" t="s">
        <v>52</v>
      </c>
      <c r="E38" s="10"/>
      <c r="F38" s="11" t="s">
        <v>53</v>
      </c>
    </row>
    <row r="39" spans="1:6" ht="15" customHeight="1" x14ac:dyDescent="0.3">
      <c r="A39" s="7" t="s">
        <v>54</v>
      </c>
      <c r="B39" s="8"/>
      <c r="C39" s="9" t="s">
        <v>55</v>
      </c>
      <c r="D39" s="7" t="s">
        <v>56</v>
      </c>
      <c r="E39" s="10"/>
      <c r="F39" s="11" t="s">
        <v>57</v>
      </c>
    </row>
    <row r="40" spans="1:6" ht="15" customHeight="1" x14ac:dyDescent="0.3">
      <c r="A40" s="7" t="s">
        <v>58</v>
      </c>
      <c r="B40" s="8"/>
      <c r="C40" s="9" t="s">
        <v>59</v>
      </c>
      <c r="D40" s="7" t="s">
        <v>56</v>
      </c>
      <c r="E40" s="10"/>
      <c r="F40" s="11" t="s">
        <v>57</v>
      </c>
    </row>
    <row r="42" spans="1:6" ht="19.5" customHeight="1" x14ac:dyDescent="0.3">
      <c r="A42" s="2" t="s">
        <v>60</v>
      </c>
      <c r="B42" s="2"/>
      <c r="C42" s="2"/>
      <c r="D42" s="2"/>
      <c r="E42" s="2"/>
      <c r="F42" s="2"/>
    </row>
    <row r="43" spans="1:6" ht="150" customHeight="1" x14ac:dyDescent="0.3">
      <c r="A43" s="1" t="s">
        <v>61</v>
      </c>
      <c r="B43" s="1"/>
      <c r="C43" s="1"/>
      <c r="D43" s="1"/>
      <c r="E43" s="1"/>
      <c r="F43" s="1"/>
    </row>
    <row r="44" spans="1:6" ht="15" customHeight="1" x14ac:dyDescent="0.3">
      <c r="A44" s="1"/>
      <c r="B44" s="1"/>
      <c r="C44" s="1"/>
      <c r="D44" s="1"/>
      <c r="E44" s="1"/>
      <c r="F44" s="1"/>
    </row>
    <row r="45" spans="1:6" ht="15" customHeight="1" x14ac:dyDescent="0.3">
      <c r="A45" s="1"/>
      <c r="B45" s="1"/>
      <c r="C45" s="1"/>
      <c r="D45" s="1"/>
      <c r="E45" s="1"/>
      <c r="F45" s="1"/>
    </row>
    <row r="46" spans="1:6" ht="15" customHeight="1" x14ac:dyDescent="0.3">
      <c r="A46" s="1"/>
      <c r="B46" s="1"/>
      <c r="C46" s="1"/>
      <c r="D46" s="1"/>
      <c r="E46" s="1"/>
      <c r="F46" s="1"/>
    </row>
    <row r="47" spans="1:6" ht="15" customHeight="1" x14ac:dyDescent="0.3">
      <c r="A47" s="1"/>
      <c r="B47" s="1"/>
      <c r="C47" s="1"/>
      <c r="D47" s="1"/>
      <c r="E47" s="1"/>
      <c r="F47" s="1"/>
    </row>
    <row r="48" spans="1:6" ht="15" customHeight="1" x14ac:dyDescent="0.3">
      <c r="A48" s="1"/>
      <c r="B48" s="1"/>
      <c r="C48" s="1"/>
      <c r="D48" s="1"/>
      <c r="E48" s="1"/>
      <c r="F48" s="1"/>
    </row>
    <row r="49" spans="1:6" ht="15" customHeight="1" x14ac:dyDescent="0.3">
      <c r="A49" s="1"/>
      <c r="B49" s="1"/>
      <c r="C49" s="1"/>
      <c r="D49" s="1"/>
      <c r="E49" s="1"/>
      <c r="F49" s="1"/>
    </row>
    <row r="50" spans="1:6" ht="15" customHeight="1" x14ac:dyDescent="0.3">
      <c r="A50" s="1"/>
      <c r="B50" s="1"/>
      <c r="C50" s="1"/>
      <c r="D50" s="1"/>
      <c r="E50" s="1"/>
      <c r="F50" s="1"/>
    </row>
  </sheetData>
  <mergeCells count="11">
    <mergeCell ref="A43:F50"/>
    <mergeCell ref="A18:F18"/>
    <mergeCell ref="A25:F25"/>
    <mergeCell ref="A32:F32"/>
    <mergeCell ref="A36:F36"/>
    <mergeCell ref="A42:F42"/>
    <mergeCell ref="A1:F1"/>
    <mergeCell ref="A2:F2"/>
    <mergeCell ref="A3:F3"/>
    <mergeCell ref="A5:F5"/>
    <mergeCell ref="A10:F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Marco de Jerez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Esteban Sota Leiva</cp:lastModifiedBy>
  <cp:revision>0</cp:revision>
  <dcterms:created xsi:type="dcterms:W3CDTF">2026-07-29T10:57:52Z</dcterms:created>
  <dcterms:modified xsi:type="dcterms:W3CDTF">2026-07-29T12:54:29Z</dcterms:modified>
  <dc:language>en-US</dc:language>
</cp:coreProperties>
</file>