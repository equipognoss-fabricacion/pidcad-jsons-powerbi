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riamlab-my.sharepoint.com/personal/estebansota_gnoss_com/Documents/Documentos/GitHub/pidcad-jsons-powerbi/Enoturismo/"/>
    </mc:Choice>
  </mc:AlternateContent>
  <xr:revisionPtr revIDLastSave="29" documentId="11_F0FF62F3A55EAFE6317CB7E91D9E12F7671C2B90" xr6:coauthVersionLast="47" xr6:coauthVersionMax="47" xr10:uidLastSave="{CDB374EC-5F6E-48D7-864F-DA4E634749CE}"/>
  <bookViews>
    <workbookView xWindow="-108" yWindow="-108" windowWidth="23256" windowHeight="12456" tabRatio="500" firstSheet="3" activeTab="4" xr2:uid="{00000000-000D-0000-FFFF-FFFF00000000}"/>
  </bookViews>
  <sheets>
    <sheet name="Oferta servicios enoturísticos" sheetId="1" r:id="rId1"/>
    <sheet name="Visitantes a bodegas y museos" sheetId="2" r:id="rId2"/>
    <sheet name="Procedencia de los visitantes" sheetId="3" r:id="rId3"/>
    <sheet name="Precio medio y gasto medio" sheetId="4" r:id="rId4"/>
    <sheet name="Impacto económico" sheetId="5" r:id="rId5"/>
    <sheet name="Estacionalidad y rankin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5" l="1"/>
  <c r="E4" i="4"/>
  <c r="E3" i="4"/>
  <c r="E2" i="4"/>
  <c r="C6" i="2"/>
  <c r="C5" i="2"/>
  <c r="E4" i="2"/>
  <c r="E3" i="2"/>
  <c r="E2" i="2"/>
  <c r="E3" i="1"/>
</calcChain>
</file>

<file path=xl/sharedStrings.xml><?xml version="1.0" encoding="utf-8"?>
<sst xmlns="http://schemas.openxmlformats.org/spreadsheetml/2006/main" count="93" uniqueCount="51">
  <si>
    <t>Métrica</t>
  </si>
  <si>
    <t>2023</t>
  </si>
  <si>
    <t>2024</t>
  </si>
  <si>
    <t>Unidad</t>
  </si>
  <si>
    <t>Var. %</t>
  </si>
  <si>
    <t>Fuente / página del informe</t>
  </si>
  <si>
    <t>Servicios y entidades (total combinado, tabla)</t>
  </si>
  <si>
    <t>nº</t>
  </si>
  <si>
    <t>Tabla 2.1 'Oferta de servicios enoturísticos en Rutas del Vino de España', pág. 10 (3,61% del total del Club)</t>
  </si>
  <si>
    <t>Oferta de servicios (evolución anual)</t>
  </si>
  <si>
    <t>Gráfico 'Evolución de la oferta de servicios enoturísticos 2023-2024', pág. 14</t>
  </si>
  <si>
    <t>Visitantes totales (bodegas + museos)</t>
  </si>
  <si>
    <t>personas</t>
  </si>
  <si>
    <t>Texto pág. 22 (ruta más visitada de España) y gráfico 'Evolución anual de visitantes', pág. 23</t>
  </si>
  <si>
    <t>Visitantes en Bodegas</t>
  </si>
  <si>
    <t>Gráfico 'Evolución de visitantes en Bodegas 2023-2024', pág. 30</t>
  </si>
  <si>
    <t>Visitantes en Museos</t>
  </si>
  <si>
    <t>Gráfico 'Evolución de visitantes en Museos 2023-2024', pág. 31</t>
  </si>
  <si>
    <t>% Visitantes en Bodegas sobre el total (2024)</t>
  </si>
  <si>
    <t>Calculado a partir de pág. 27/28 (340.309 / 425.652)</t>
  </si>
  <si>
    <t>% Visitantes en Museos sobre el total (2024)</t>
  </si>
  <si>
    <t>Calculado a partir de pág. 27/28 (85.343 / 425.652)</t>
  </si>
  <si>
    <t>Visitantes internacionales</t>
  </si>
  <si>
    <t>Gráfico 'Distribución de visitantes según procedencia', pág. 33</t>
  </si>
  <si>
    <t>Visitantes nacionales</t>
  </si>
  <si>
    <t>% Internacional</t>
  </si>
  <si>
    <t>%</t>
  </si>
  <si>
    <t>Gráfico pág. 34 y Tabla '% Internacional por Ruta', pág. 36 (31,90%)</t>
  </si>
  <si>
    <t>% Nacional</t>
  </si>
  <si>
    <t>Gráfico 'Distribución porcentual de visitantes por procedencia', pág. 34</t>
  </si>
  <si>
    <t>Precio medio visita - Bodegas</t>
  </si>
  <si>
    <t>€</t>
  </si>
  <si>
    <t>Gráfico 'Precio medio de la visita en las Bodegas 2023-2024', pág. 49</t>
  </si>
  <si>
    <t>Precio medio visita - Museos</t>
  </si>
  <si>
    <t>Gráfico 'Precio medio de la visita en Museos 2023-2024', pág. 51</t>
  </si>
  <si>
    <t>Gasto medio en tienda - Bodegas</t>
  </si>
  <si>
    <t>Gráfico 'Gasto medio de la visita en Bodegas 2023-2024', pág. 50</t>
  </si>
  <si>
    <t>Gasto medio en tienda - Museos</t>
  </si>
  <si>
    <t>Gráfico 'Gasto medio por tipo de producto' (solo 2024), pág. 54 — el informe no incluye serie histórica 2023 por ruta para este dato</t>
  </si>
  <si>
    <t>Ingresos totales estimados (bodegas + museos)</t>
  </si>
  <si>
    <t>millones €</t>
  </si>
  <si>
    <t>Gráfico 'Evolución de ingresos totales 2023-2024', pág. 56</t>
  </si>
  <si>
    <t>Posición en el ranking de las 37 Rutas del Vino</t>
  </si>
  <si>
    <t>posición</t>
  </si>
  <si>
    <t>Texto pág. 22 ("la Ruta del Vino y el Brandy Marco de Jerez, con 425.652 visitantes")</t>
  </si>
  <si>
    <t>Mes de mayor afluencia</t>
  </si>
  <si>
    <t>Mayo</t>
  </si>
  <si>
    <t>mes</t>
  </si>
  <si>
    <t>Tabla 'Meses de mayor y menor afluencia por Ruta', pág. 42</t>
  </si>
  <si>
    <t>Mes de menor afluencia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</si>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</sst>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i/>
      <sz val="8"/>
      <color rgb="FF80808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10"/>
      <color rgb="FF9C57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A9A9A9"/>
        <bgColor rgb="FF9999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164" fontId="4" fillId="0" borderId="1" xfId="0" applyNumberFormat="1" applyFont="1" applyBorder="1"/>
    <xf numFmtId="0" fontId="1" fillId="0" borderId="1" xfId="0" applyFont="1" applyBorder="1"/>
    <xf numFmtId="164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DB84B"/>
      <rgbColor rgb="FFFFCC00"/>
      <rgbColor rgb="FFFF9900"/>
      <rgbColor rgb="FFFF6600"/>
      <rgbColor rgb="FF666699"/>
      <rgbColor rgb="FFA9A9A9"/>
      <rgbColor rgb="FF003366"/>
      <rgbColor rgb="FF6FAF4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zoomScaleNormal="100" workbookViewId="0">
      <pane ySplit="1" topLeftCell="A2" activePane="bottomLeft" state="frozen"/>
      <selection pane="bottomLeft" activeCell="B3" sqref="B3"/>
    </sheetView>
  </sheetViews>
  <sheetFormatPr baseColWidth="10" defaultColWidth="8.6640625" defaultRowHeight="14.4" x14ac:dyDescent="0.3"/>
  <cols>
    <col min="1" max="1" width="44" customWidth="1"/>
    <col min="2" max="3" width="14" customWidth="1"/>
    <col min="4" max="4" width="12" customWidth="1"/>
    <col min="5" max="5" width="10" customWidth="1"/>
    <col min="6" max="6" width="58" customWidth="1"/>
  </cols>
  <sheetData>
    <row r="1" spans="1:6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 x14ac:dyDescent="0.3">
      <c r="A2" s="2" t="s">
        <v>6</v>
      </c>
      <c r="B2" s="3"/>
      <c r="C2" s="4">
        <v>111</v>
      </c>
      <c r="D2" s="2" t="s">
        <v>7</v>
      </c>
      <c r="E2" s="5"/>
      <c r="F2" s="6" t="s">
        <v>8</v>
      </c>
    </row>
    <row r="3" spans="1:6" ht="15" customHeight="1" x14ac:dyDescent="0.3">
      <c r="A3" s="2" t="s">
        <v>9</v>
      </c>
      <c r="B3" s="7">
        <v>110</v>
      </c>
      <c r="C3" s="4">
        <v>93</v>
      </c>
      <c r="D3" s="2" t="s">
        <v>7</v>
      </c>
      <c r="E3" s="8">
        <f>(C3-B3)/B3</f>
        <v>-0.15454545454545454</v>
      </c>
      <c r="F3" s="6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B7BA-6372-4E77-8962-DC327BA64905}">
  <dimension ref="A1:F6"/>
  <sheetViews>
    <sheetView zoomScaleNormal="100" workbookViewId="0">
      <pane ySplit="1" topLeftCell="A2" activePane="bottomLeft" state="frozen"/>
      <selection pane="bottomLeft" activeCell="A7" sqref="A7:XFD41"/>
    </sheetView>
  </sheetViews>
  <sheetFormatPr baseColWidth="10" defaultColWidth="8.6640625" defaultRowHeight="14.4" x14ac:dyDescent="0.3"/>
  <cols>
    <col min="1" max="1" width="44" customWidth="1"/>
    <col min="2" max="3" width="14" customWidth="1"/>
    <col min="4" max="4" width="12" customWidth="1"/>
    <col min="5" max="5" width="10" customWidth="1"/>
    <col min="6" max="6" width="58" customWidth="1"/>
  </cols>
  <sheetData>
    <row r="1" spans="1:6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 x14ac:dyDescent="0.3">
      <c r="A2" s="2" t="s">
        <v>11</v>
      </c>
      <c r="B2" s="7">
        <v>383200</v>
      </c>
      <c r="C2" s="4">
        <v>425652</v>
      </c>
      <c r="D2" s="2" t="s">
        <v>12</v>
      </c>
      <c r="E2" s="8">
        <f>(C2-B2)/B2</f>
        <v>0.11078288100208768</v>
      </c>
      <c r="F2" s="6" t="s">
        <v>13</v>
      </c>
    </row>
    <row r="3" spans="1:6" ht="15" customHeight="1" x14ac:dyDescent="0.3">
      <c r="A3" s="2" t="s">
        <v>14</v>
      </c>
      <c r="B3" s="7">
        <v>341100</v>
      </c>
      <c r="C3" s="4">
        <v>340309</v>
      </c>
      <c r="D3" s="2" t="s">
        <v>12</v>
      </c>
      <c r="E3" s="8">
        <f>(C3-B3)/B3</f>
        <v>-2.3189680445617122E-3</v>
      </c>
      <c r="F3" s="6" t="s">
        <v>15</v>
      </c>
    </row>
    <row r="4" spans="1:6" ht="15" customHeight="1" x14ac:dyDescent="0.3">
      <c r="A4" s="2" t="s">
        <v>16</v>
      </c>
      <c r="B4" s="7">
        <v>41500</v>
      </c>
      <c r="C4" s="4">
        <v>85343</v>
      </c>
      <c r="D4" s="2" t="s">
        <v>12</v>
      </c>
      <c r="E4" s="8">
        <f>(C4-B4)/B4</f>
        <v>1.0564578313253012</v>
      </c>
      <c r="F4" s="6" t="s">
        <v>17</v>
      </c>
    </row>
    <row r="5" spans="1:6" ht="15" customHeight="1" x14ac:dyDescent="0.3">
      <c r="A5" s="9" t="s">
        <v>18</v>
      </c>
      <c r="B5" s="5"/>
      <c r="C5" s="10">
        <f>C3/(C3+C4)</f>
        <v>0.79950053095016582</v>
      </c>
      <c r="D5" s="5"/>
      <c r="E5" s="5"/>
      <c r="F5" s="11" t="s">
        <v>19</v>
      </c>
    </row>
    <row r="6" spans="1:6" ht="15" customHeight="1" x14ac:dyDescent="0.3">
      <c r="A6" s="9" t="s">
        <v>20</v>
      </c>
      <c r="B6" s="5"/>
      <c r="C6" s="10">
        <f>C4/(C3+C4)</f>
        <v>0.20049946904983415</v>
      </c>
      <c r="D6" s="5"/>
      <c r="E6" s="5"/>
      <c r="F6" s="11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3A49-D3E4-4EDF-BE0F-BDC4059D27C1}">
  <dimension ref="A1:F5"/>
  <sheetViews>
    <sheetView zoomScaleNormal="100" workbookViewId="0">
      <pane ySplit="1" topLeftCell="A2" activePane="bottomLeft" state="frozen"/>
      <selection pane="bottomLeft" activeCell="A6" sqref="A6"/>
    </sheetView>
  </sheetViews>
  <sheetFormatPr baseColWidth="10" defaultColWidth="8.6640625" defaultRowHeight="14.4" x14ac:dyDescent="0.3"/>
  <cols>
    <col min="1" max="1" width="44" customWidth="1"/>
    <col min="2" max="3" width="14" customWidth="1"/>
    <col min="4" max="4" width="12" customWidth="1"/>
    <col min="5" max="5" width="10" customWidth="1"/>
    <col min="6" max="6" width="58" customWidth="1"/>
  </cols>
  <sheetData>
    <row r="1" spans="1:6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">
      <c r="A2" s="2" t="s">
        <v>22</v>
      </c>
      <c r="B2" s="3"/>
      <c r="C2" s="4">
        <v>135987</v>
      </c>
      <c r="D2" s="2" t="s">
        <v>12</v>
      </c>
      <c r="E2" s="5"/>
      <c r="F2" s="6" t="s">
        <v>23</v>
      </c>
    </row>
    <row r="3" spans="1:6" ht="15" customHeight="1" x14ac:dyDescent="0.3">
      <c r="A3" s="2" t="s">
        <v>24</v>
      </c>
      <c r="B3" s="3"/>
      <c r="C3" s="4">
        <v>289666</v>
      </c>
      <c r="D3" s="2" t="s">
        <v>12</v>
      </c>
      <c r="E3" s="5"/>
      <c r="F3" s="6" t="s">
        <v>23</v>
      </c>
    </row>
    <row r="4" spans="1:6" ht="15" customHeight="1" x14ac:dyDescent="0.3">
      <c r="A4" s="2" t="s">
        <v>25</v>
      </c>
      <c r="B4" s="8"/>
      <c r="C4" s="12">
        <v>0.31900000000000001</v>
      </c>
      <c r="D4" s="2" t="s">
        <v>26</v>
      </c>
      <c r="E4" s="5"/>
      <c r="F4" s="6" t="s">
        <v>27</v>
      </c>
    </row>
    <row r="5" spans="1:6" ht="15" customHeight="1" x14ac:dyDescent="0.3">
      <c r="A5" s="2" t="s">
        <v>28</v>
      </c>
      <c r="B5" s="8"/>
      <c r="C5" s="12">
        <v>0.68100000000000005</v>
      </c>
      <c r="D5" s="2" t="s">
        <v>26</v>
      </c>
      <c r="E5" s="5"/>
      <c r="F5" s="6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01A6-DA93-449B-86F8-93BB038BC669}">
  <dimension ref="A1:F5"/>
  <sheetViews>
    <sheetView zoomScaleNormal="100" workbookViewId="0">
      <pane ySplit="1" topLeftCell="A2" activePane="bottomLeft" state="frozen"/>
      <selection pane="bottomLeft" activeCell="B3" sqref="B3"/>
    </sheetView>
  </sheetViews>
  <sheetFormatPr baseColWidth="10" defaultColWidth="8.6640625" defaultRowHeight="14.4" x14ac:dyDescent="0.3"/>
  <cols>
    <col min="1" max="1" width="44" customWidth="1"/>
    <col min="2" max="3" width="14" customWidth="1"/>
    <col min="4" max="4" width="12" customWidth="1"/>
    <col min="5" max="5" width="10" customWidth="1"/>
    <col min="6" max="6" width="58" customWidth="1"/>
  </cols>
  <sheetData>
    <row r="1" spans="1:6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">
      <c r="A2" s="2" t="s">
        <v>30</v>
      </c>
      <c r="B2" s="7">
        <v>23.8</v>
      </c>
      <c r="C2" s="4">
        <v>22.2</v>
      </c>
      <c r="D2" s="2" t="s">
        <v>31</v>
      </c>
      <c r="E2" s="8">
        <f>(C2-B2)/B2</f>
        <v>-6.7226890756302574E-2</v>
      </c>
      <c r="F2" s="6" t="s">
        <v>32</v>
      </c>
    </row>
    <row r="3" spans="1:6" ht="15" customHeight="1" x14ac:dyDescent="0.3">
      <c r="A3" s="2" t="s">
        <v>33</v>
      </c>
      <c r="B3" s="7">
        <v>5.7</v>
      </c>
      <c r="C3" s="4">
        <v>7</v>
      </c>
      <c r="D3" s="2" t="s">
        <v>31</v>
      </c>
      <c r="E3" s="8">
        <f>(C3-B3)/B3</f>
        <v>0.22807017543859645</v>
      </c>
      <c r="F3" s="6" t="s">
        <v>34</v>
      </c>
    </row>
    <row r="4" spans="1:6" ht="15" customHeight="1" x14ac:dyDescent="0.3">
      <c r="A4" s="2" t="s">
        <v>35</v>
      </c>
      <c r="B4" s="7">
        <v>30.4</v>
      </c>
      <c r="C4" s="4">
        <v>28.4</v>
      </c>
      <c r="D4" s="2" t="s">
        <v>31</v>
      </c>
      <c r="E4" s="8">
        <f>(C4-B4)/B4</f>
        <v>-6.5789473684210523E-2</v>
      </c>
      <c r="F4" s="6" t="s">
        <v>36</v>
      </c>
    </row>
    <row r="5" spans="1:6" ht="18.75" customHeight="1" x14ac:dyDescent="0.3">
      <c r="A5" s="2" t="s">
        <v>37</v>
      </c>
      <c r="B5" s="3"/>
      <c r="C5" s="4">
        <v>12.7</v>
      </c>
      <c r="D5" s="2" t="s">
        <v>31</v>
      </c>
      <c r="E5" s="5"/>
      <c r="F5" s="6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33A5-DA83-4A2F-96D0-4C0F391C84D1}">
  <dimension ref="A1:F2"/>
  <sheetViews>
    <sheetView tabSelected="1" zoomScaleNormal="100" workbookViewId="0">
      <pane ySplit="1" topLeftCell="A3" activePane="bottomLeft" state="frozen"/>
      <selection pane="bottomLeft" activeCell="A5" sqref="A5"/>
    </sheetView>
  </sheetViews>
  <sheetFormatPr baseColWidth="10" defaultColWidth="8.6640625" defaultRowHeight="14.4" x14ac:dyDescent="0.3"/>
  <cols>
    <col min="1" max="1" width="44" customWidth="1"/>
    <col min="2" max="3" width="14" customWidth="1"/>
    <col min="4" max="4" width="12" customWidth="1"/>
    <col min="5" max="5" width="10" customWidth="1"/>
    <col min="6" max="6" width="58" customWidth="1"/>
  </cols>
  <sheetData>
    <row r="1" spans="1:6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">
      <c r="A2" s="2" t="s">
        <v>39</v>
      </c>
      <c r="B2" s="7">
        <v>19.100000000000001</v>
      </c>
      <c r="C2" s="4">
        <v>17.2</v>
      </c>
      <c r="D2" s="2" t="s">
        <v>40</v>
      </c>
      <c r="E2" s="8">
        <f>(C2-B2)/B2</f>
        <v>-9.9476439790576021E-2</v>
      </c>
      <c r="F2" s="6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D0AD-36CF-4E20-A0F8-42DB7700EC32}">
  <dimension ref="A1:F4"/>
  <sheetViews>
    <sheetView zoomScaleNormal="100" workbookViewId="0">
      <pane ySplit="1" topLeftCell="A2" activePane="bottomLeft" state="frozen"/>
      <selection pane="bottomLeft" activeCell="A9" sqref="A9"/>
    </sheetView>
  </sheetViews>
  <sheetFormatPr baseColWidth="10" defaultColWidth="8.6640625" defaultRowHeight="14.4" x14ac:dyDescent="0.3"/>
  <cols>
    <col min="1" max="1" width="44" customWidth="1"/>
    <col min="2" max="3" width="14" customWidth="1"/>
    <col min="4" max="4" width="12" customWidth="1"/>
    <col min="5" max="5" width="10" customWidth="1"/>
    <col min="6" max="6" width="58" customWidth="1"/>
  </cols>
  <sheetData>
    <row r="1" spans="1:6" ht="25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customHeight="1" x14ac:dyDescent="0.3">
      <c r="A2" s="2" t="s">
        <v>42</v>
      </c>
      <c r="B2" s="3"/>
      <c r="C2" s="13">
        <v>1</v>
      </c>
      <c r="D2" s="2" t="s">
        <v>43</v>
      </c>
      <c r="E2" s="5"/>
      <c r="F2" s="6" t="s">
        <v>44</v>
      </c>
    </row>
    <row r="3" spans="1:6" ht="15" customHeight="1" x14ac:dyDescent="0.3">
      <c r="A3" s="2" t="s">
        <v>45</v>
      </c>
      <c r="B3" s="3"/>
      <c r="C3" s="4" t="s">
        <v>46</v>
      </c>
      <c r="D3" s="2" t="s">
        <v>47</v>
      </c>
      <c r="E3" s="5"/>
      <c r="F3" s="6" t="s">
        <v>48</v>
      </c>
    </row>
    <row r="4" spans="1:6" ht="15" customHeight="1" x14ac:dyDescent="0.3">
      <c r="A4" s="2" t="s">
        <v>49</v>
      </c>
      <c r="B4" s="3"/>
      <c r="C4" s="4" t="s">
        <v>50</v>
      </c>
      <c r="D4" s="2" t="s">
        <v>47</v>
      </c>
      <c r="E4" s="5"/>
      <c r="F4" s="6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Oferta servicios enoturísticos</vt:lpstr>
      <vt:lpstr>Visitantes a bodegas y museos</vt:lpstr>
      <vt:lpstr>Procedencia de los visitantes</vt:lpstr>
      <vt:lpstr>Precio medio y gasto medio</vt:lpstr>
      <vt:lpstr>Impacto económico</vt:lpstr>
      <vt:lpstr>Estacionalidad y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Esteban Sota Leiva</cp:lastModifiedBy>
  <cp:revision>0</cp:revision>
  <dcterms:created xsi:type="dcterms:W3CDTF">2026-07-29T10:57:52Z</dcterms:created>
  <dcterms:modified xsi:type="dcterms:W3CDTF">2026-07-30T21:28:15Z</dcterms:modified>
  <dc:language>en-US</dc:language>
</cp:coreProperties>
</file>